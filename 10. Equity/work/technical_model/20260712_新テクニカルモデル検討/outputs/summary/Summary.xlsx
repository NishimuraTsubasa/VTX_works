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740cdc7a644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ormance_Metrics" sheetId="1" r:id="R32285e15dd0a4514"/>
    <x:sheet xmlns:r="http://schemas.openxmlformats.org/officeDocument/2006/relationships" name="Portfolio_Latest" sheetId="2" r:id="Rd0a976f914194fa4"/>
    <x:sheet xmlns:r="http://schemas.openxmlformats.org/officeDocument/2006/relationships" name="Model_Performance" sheetId="3" r:id="Rcc420330cc234653"/>
    <x:sheet xmlns:r="http://schemas.openxmlformats.org/officeDocument/2006/relationships" name="Model_Weights_History" sheetId="4" r:id="Re9768cbf19374a1e"/>
    <x:sheet xmlns:r="http://schemas.openxmlformats.org/officeDocument/2006/relationships" name="Evidence_Latest" sheetId="5" r:id="R599eedece31f4a91"/>
    <x:sheet xmlns:r="http://schemas.openxmlformats.org/officeDocument/2006/relationships" name="Transformer_Attention" sheetId="6" r:id="Rc81d605866474a37"/>
    <x:sheet xmlns:r="http://schemas.openxmlformats.org/officeDocument/2006/relationships" name="Backtest_Monthly" sheetId="7" r:id="R6fcab50d8f274497"/>
    <x:sheet xmlns:r="http://schemas.openxmlformats.org/officeDocument/2006/relationships" name="Config" sheetId="8" r:id="R3e6c6f316ccf46d1"/>
    <x:sheet xmlns:r="http://schemas.openxmlformats.org/officeDocument/2006/relationships" name="Executive_Summary" sheetId="9" r:id="R30fd43effe414f6b"/>
    <x:sheet xmlns:r="http://schemas.openxmlformats.org/officeDocument/2006/relationships" name="Feature_Dictionary" sheetId="10" r:id="R0c968286fa634810"/>
    <x:sheet xmlns:r="http://schemas.openxmlformats.org/officeDocument/2006/relationships" name="Input_Specification" sheetId="11" r:id="R3676f49507124860"/>
    <x:sheet xmlns:r="http://schemas.openxmlformats.org/officeDocument/2006/relationships" name="Transformer_Context" sheetId="12" r:id="R92ed6c66898745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;[Red](0.0%);-"/>
    <x:numFmt numFmtId="201" formatCode="0.00;[Red](0.00);-"/>
    <x:numFmt numFmtId="202" formatCode="yyyy-mm-dd"/>
    <x:numFmt numFmtId="203" formatCode="0.000;[Red](0.000);-"/>
    <x:numFmt numFmtId="204" formatCode="0.00"/>
    <x:numFmt numFmtId="205" formatCode="0.000x"/>
    <x:numFmt numFmtId="206" formatCode="0.0%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0000FF"/>
      <x:name val="Carlito"/>
    </x:font>
    <x:font>
      <x:b/>
      <x:sz val="18"/>
      <x:color rgb="FFFFFFFF"/>
      <x:name val="Carlito"/>
    </x:font>
    <x:font>
      <x:b/>
      <x:sz val="11"/>
      <x:color rgb="FF9C6500"/>
      <x:name val="Carlito"/>
    </x:font>
    <x:font>
      <x:sz val="11"/>
      <x:color rgb="FF008000"/>
      <x:name val="Carlito"/>
    </x:font>
    <x:font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3F6FA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206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e17fc9454c4961" /><Relationship Type="http://schemas.openxmlformats.org/officeDocument/2006/relationships/theme" Target="/xl/theme/theme1.xml" Id="Raa5bc20a77c84cc1" /><Relationship Type="http://schemas.openxmlformats.org/officeDocument/2006/relationships/sharedStrings" Target="/xl/sharedStrings.xml" Id="R4f6c81c5176a4b26" /><Relationship Type="http://schemas.openxmlformats.org/officeDocument/2006/relationships/worksheet" Target="/xl/worksheets/sheet1.xml" Id="R32285e15dd0a4514" /><Relationship Type="http://schemas.openxmlformats.org/officeDocument/2006/relationships/worksheet" Target="/xl/worksheets/sheet2.xml" Id="Rd0a976f914194fa4" /><Relationship Type="http://schemas.openxmlformats.org/officeDocument/2006/relationships/worksheet" Target="/xl/worksheets/sheet3.xml" Id="Rcc420330cc234653" /><Relationship Type="http://schemas.openxmlformats.org/officeDocument/2006/relationships/worksheet" Target="/xl/worksheets/sheet4.xml" Id="Re9768cbf19374a1e" /><Relationship Type="http://schemas.openxmlformats.org/officeDocument/2006/relationships/worksheet" Target="/xl/worksheets/sheet5.xml" Id="R599eedece31f4a91" /><Relationship Type="http://schemas.openxmlformats.org/officeDocument/2006/relationships/worksheet" Target="/xl/worksheets/sheet6.xml" Id="Rc81d605866474a37" /><Relationship Type="http://schemas.openxmlformats.org/officeDocument/2006/relationships/worksheet" Target="/xl/worksheets/sheet7.xml" Id="R6fcab50d8f274497" /><Relationship Type="http://schemas.openxmlformats.org/officeDocument/2006/relationships/worksheet" Target="/xl/worksheets/sheet8.xml" Id="R3e6c6f316ccf46d1" /><Relationship Type="http://schemas.openxmlformats.org/officeDocument/2006/relationships/worksheet" Target="/xl/worksheets/sheet9.xml" Id="R30fd43effe414f6b" /><Relationship Type="http://schemas.openxmlformats.org/officeDocument/2006/relationships/worksheet" Target="/xl/worksheets/sheet10.xml" Id="R0c968286fa634810" /><Relationship Type="http://schemas.openxmlformats.org/officeDocument/2006/relationships/worksheet" Target="/xl/worksheets/sheet11.xml" Id="R3676f49507124860" /><Relationship Type="http://schemas.openxmlformats.org/officeDocument/2006/relationships/worksheet" Target="/xl/worksheets/sheet12.xml" Id="R92ed6c66898745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74add9ee3b421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2cf96b25c204bd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62017a9d95442e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0fde4f3bb7c4b7b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c5bb0c22006f40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Latest Dynamic Portfolio Weights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Dynamic Weight</c:v>
          </c:tx>
          <c:cat>
            <c:strRef>
              <c:f>'Portfolio_Latest'!$B$2:$B$13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'Portfolio_Latest'!$E$2:$E$13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Latest Dynamic Model Weights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Latest Weight</c:v>
          </c:tx>
          <c:cat>
            <c:strRef>
              <c:f>'Model_Performance'!$A$2:$A$6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'Model_Performance'!$E$2:$E$6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Dynamic Model Weight History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Rule</c:v>
          </c:tx>
          <c:cat>
            <c:strRef>
              <c:f>'Model_Weights_History'!$A$2:$A$30</c:f>
              <c:strCache>
                <c:ptCount val="0"/>
              </c:strCache>
            </c:strRef>
          </c:cat>
          <c:val>
            <c:numRef>
              <c:f>'Model_Weights_History'!$B$2:$B$30</c:f>
              <c:numCache>
                <c:formatCode>0.0%;[Red](0.0%);-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Ridge</c:v>
          </c:tx>
          <c:cat>
            <c:strRef>
              <c:f>'Model_Weights_History'!$A$2:$A$30</c:f>
              <c:strCache>
                <c:ptCount val="0"/>
              </c:strCache>
            </c:strRef>
          </c:cat>
          <c:val>
            <c:numRef>
              <c:f>'Model_Weights_History'!$C$2:$C$30</c:f>
              <c:numCache>
                <c:formatCode>0.0%;[Red](0.0%);-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RandomForest</c:v>
          </c:tx>
          <c:cat>
            <c:strRef>
              <c:f>'Model_Weights_History'!$A$2:$A$30</c:f>
              <c:strCache>
                <c:ptCount val="0"/>
              </c:strCache>
            </c:strRef>
          </c:cat>
          <c:val>
            <c:numRef>
              <c:f>'Model_Weights_History'!$D$2:$D$30</c:f>
              <c:numCache>
                <c:formatCode>0.0%;[Red](0.0%);-</c:formatCode>
                <c:ptCount val="0"/>
              </c:numCache>
            </c:numRef>
          </c:val>
          <c:smooth val="0"/>
        </c:ser>
        <c:ser>
          <c:idx val="3"/>
          <c:order val="3"/>
          <c:tx>
            <c:v>LightGBM</c:v>
          </c:tx>
          <c:cat>
            <c:strRef>
              <c:f>'Model_Weights_History'!$A$2:$A$30</c:f>
              <c:strCache>
                <c:ptCount val="0"/>
              </c:strCache>
            </c:strRef>
          </c:cat>
          <c:val>
            <c:numRef>
              <c:f>'Model_Weights_History'!$E$2:$E$30</c:f>
              <c:numCache>
                <c:formatCode>0.0%;[Red](0.0%);-</c:formatCode>
                <c:ptCount val="0"/>
              </c:numCache>
            </c:numRef>
          </c:val>
          <c:smooth val="0"/>
        </c:ser>
        <c:ser>
          <c:idx val="4"/>
          <c:order val="4"/>
          <c:tx>
            <c:v>Transformer</c:v>
          </c:tx>
          <c:cat>
            <c:strRef>
              <c:f>'Model_Weights_History'!$A$2:$A$30</c:f>
              <c:strCache>
                <c:ptCount val="0"/>
              </c:strCache>
            </c:strRef>
          </c:cat>
          <c:val>
            <c:numRef>
              <c:f>'Model_Weights_History'!$F$2:$F$30</c:f>
              <c:numCache>
                <c:formatCode>0.0%;[Red](0.0%);-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Temporal Attention by Period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Attention Share</c:v>
          </c:tx>
          <c:cat>
            <c:strRef>
              <c:f>'Transformer_Attention'!$A$2:$A$5</c:f>
              <c:strCache>
                <c:ptCount val="0"/>
              </c:strCache>
            </c:strRef>
          </c:cat>
          <c:val>
            <c:numRef>
              <c:f>'Transformer_Attention'!$B$2:$B$5</c:f>
              <c:numCache>
                <c:formatCode>0.0%;[Red](0.0%);-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Cumulative Performance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Dynamic Net</c:v>
          </c:tx>
          <c:cat>
            <c:strRef>
              <c:f>'Backtest_Monthly'!$A$2:$A$30</c:f>
              <c:strCache>
                <c:ptCount val="0"/>
              </c:strCache>
            </c:strRef>
          </c:cat>
          <c:val>
            <c:numRef>
              <c:f>'Backtest_Monthly'!$B$2:$B$30</c:f>
              <c:numCache>
                <c:formatCode>0.0%;[Red](0.0%);-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Static Net</c:v>
          </c:tx>
          <c:cat>
            <c:strRef>
              <c:f>'Backtest_Monthly'!$A$2:$A$30</c:f>
              <c:strCache>
                <c:ptCount val="0"/>
              </c:strCache>
            </c:strRef>
          </c:cat>
          <c:val>
            <c:numRef>
              <c:f>'Backtest_Monthly'!$C$2:$C$30</c:f>
              <c:numCache>
                <c:formatCode>0.0%;[Red](0.0%);-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Benchmark</c:v>
          </c:tx>
          <c:cat>
            <c:strRef>
              <c:f>'Backtest_Monthly'!$A$2:$A$30</c:f>
              <c:strCache>
                <c:ptCount val="0"/>
              </c:strCache>
            </c:strRef>
          </c:cat>
          <c:val>
            <c:numRef>
              <c:f>'Backtest_Monthly'!$D$2:$D$30</c:f>
              <c:numCache>
                <c:formatCode>0.0%;[Red](0.0%);-</c:formatCode>
                <c:ptCount val="0"/>
              </c:numCache>
            </c:numRef>
          </c:val>
          <c:smooth val="0"/>
        </c:ser>
        <c:ser>
          <c:idx val="3"/>
          <c:order val="3"/>
          <c:tx>
            <c:v>Dynamic Cum.</c:v>
          </c:tx>
          <c:cat>
            <c:strRef>
              <c:f>'Backtest_Monthly'!$A$2:$A$30</c:f>
              <c:strCache>
                <c:ptCount val="0"/>
              </c:strCache>
            </c:strRef>
          </c:cat>
          <c:val>
            <c:numRef>
              <c:f>'Backtest_Monthly'!$E$2:$E$30</c:f>
              <c:numCache>
                <c:formatCode>0.000x</c:formatCode>
                <c:ptCount val="0"/>
              </c:numCache>
            </c:numRef>
          </c:val>
          <c:smooth val="0"/>
        </c:ser>
        <c:ser>
          <c:idx val="4"/>
          <c:order val="4"/>
          <c:tx>
            <c:v>Static Cum.</c:v>
          </c:tx>
          <c:cat>
            <c:strRef>
              <c:f>'Backtest_Monthly'!$A$2:$A$30</c:f>
              <c:strCache>
                <c:ptCount val="0"/>
              </c:strCache>
            </c:strRef>
          </c:cat>
          <c:val>
            <c:numRef>
              <c:f>'Backtest_Monthly'!$F$2:$F$30</c:f>
              <c:numCache>
                <c:formatCode>0.000x</c:formatCode>
                <c:ptCount val="0"/>
              </c:numCache>
            </c:numRef>
          </c:val>
          <c:smooth val="0"/>
        </c:ser>
        <c:ser>
          <c:idx val="5"/>
          <c:order val="5"/>
          <c:tx>
            <c:v>Benchmark Cum.</c:v>
          </c:tx>
          <c:cat>
            <c:strRef>
              <c:f>'Backtest_Monthly'!$A$2:$A$30</c:f>
              <c:strCache>
                <c:ptCount val="0"/>
              </c:strCache>
            </c:strRef>
          </c:cat>
          <c:val>
            <c:numRef>
              <c:f>'Backtest_Monthly'!$G$2:$G$30</c:f>
              <c:numCache>
                <c:formatCode>0.000x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74add9ee3b421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cf96b25c204b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2017a9d95442e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fde4f3bb7c4b7b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bb0c22006f401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ortfolioLatestTable" displayName="PortfolioLatestTable" ref="A1:G13" headerRowCount="1">
  <x:tableColumns count="7">
    <x:tableColumn id="1" name="Date"/>
    <x:tableColumn id="2" name="Asset"/>
    <x:tableColumn id="3" name="Dynamic Score"/>
    <x:tableColumn id="4" name="Static Score"/>
    <x:tableColumn id="5" name="Dynamic Weight"/>
    <x:tableColumn id="6" name="Static Weight"/>
    <x:tableColumn id="7" name="Next Month Return (Dummy)"/>
  </x:tableColumns>
  <x:tableStyleInfo name="TableStyleMedium2" showRowStripes="1"/>
</x:table>
</file>

<file path=xl/tables/table2.xml><?xml version="1.0" encoding="utf-8"?>
<x:table xmlns:x="http://schemas.openxmlformats.org/spreadsheetml/2006/main" id="2" name="ModelPerformanceTable" displayName="ModelPerformanceTable" ref="A1:E6" headerRowCount="1">
  <x:tableColumns count="5">
    <x:tableColumn id="1" name="Model"/>
    <x:tableColumn id="2" name="Average Rank IC"/>
    <x:tableColumn id="3" name="Rank IC Std"/>
    <x:tableColumn id="4" name="ICIR"/>
    <x:tableColumn id="5" name="Latest Dynamic Weight"/>
  </x:tableColumns>
  <x:tableStyleInfo name="TableStyleMedium2" showRowStripes="1"/>
</x:table>
</file>

<file path=xl/tables/table3.xml><?xml version="1.0" encoding="utf-8"?>
<x:table xmlns:x="http://schemas.openxmlformats.org/spreadsheetml/2006/main" id="3" name="BacktestMonthlyTable" displayName="BacktestMonthlyTable" ref="A1:K30" headerRowCount="1">
  <x:tableColumns count="11">
    <x:tableColumn id="1" name="Date"/>
    <x:tableColumn id="2" name="Dynamic Net"/>
    <x:tableColumn id="3" name="Static Net"/>
    <x:tableColumn id="4" name="Benchmark"/>
    <x:tableColumn id="5" name="Dynamic Cum."/>
    <x:tableColumn id="6" name="Static Cum."/>
    <x:tableColumn id="7" name="Benchmark Cum."/>
    <x:tableColumn id="8" name="Dynamic DD"/>
    <x:tableColumn id="9" name="Static DD"/>
    <x:tableColumn id="10" name="Dynamic Turnover"/>
    <x:tableColumn id="11" name="Static Turnov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116bb7d5cb1404f" /><Relationship Type="http://schemas.openxmlformats.org/officeDocument/2006/relationships/table" Target="/xl/tables/table1.xml" Id="Re2b1ee9be1814e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5b07ac6a2384c10" /><Relationship Type="http://schemas.openxmlformats.org/officeDocument/2006/relationships/table" Target="/xl/tables/table2.xml" Id="Rda80baae105549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72546ee2cef24f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213491430e474b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6be80f21392a432b" /><Relationship Type="http://schemas.openxmlformats.org/officeDocument/2006/relationships/table" Target="/xl/tables/table3.xml" Id="Rbb6443937ffc4a2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5" t="str">
        <x:v>Strategy</x:v>
      </x:c>
      <x:c r="B1" s="5" t="str">
        <x:v>Annual Return</x:v>
      </x:c>
      <x:c r="C1" s="5" t="str">
        <x:v>Annual Volatility</x:v>
      </x:c>
      <x:c r="D1" s="5" t="str">
        <x:v>Sharpe</x:v>
      </x:c>
      <x:c r="E1" s="5" t="str">
        <x:v>Max Drawdown</x:v>
      </x:c>
      <x:c r="F1" s="5" t="str">
        <x:v>Positive Month Ratio</x:v>
      </x:c>
    </x:row>
    <x:row r="2">
      <x:c r="A2" t="str">
        <x:v>Dynamic Ensemble</x:v>
      </x:c>
      <x:c r="B2" s="10" t="n">
        <x:v>-0.04566475318008045</x:v>
      </x:c>
      <x:c r="C2" s="10" t="n">
        <x:v>0.03867583826877932</x:v>
      </x:c>
      <x:c r="D2" s="12" t="n">
        <x:v>-1.1807049368324323</x:v>
      </x:c>
      <x:c r="E2" s="10" t="n">
        <x:v>-0.14192403354345118</x:v>
      </x:c>
      <x:c r="F2" s="10" t="n">
        <x:v>0.4482758620689655</x:v>
      </x:c>
    </x:row>
    <x:row r="3">
      <x:c r="A3" t="str">
        <x:v>Static Ensemble</x:v>
      </x:c>
      <x:c r="B3" s="10" t="n">
        <x:v>-0.04273762439870765</x:v>
      </x:c>
      <x:c r="C3" s="10" t="n">
        <x:v>0.03924599137237058</x:v>
      </x:c>
      <x:c r="D3" s="12" t="n">
        <x:v>-1.088967889566301</x:v>
      </x:c>
      <x:c r="E3" s="10" t="n">
        <x:v>-0.13516406629576216</x:v>
      </x:c>
      <x:c r="F3" s="10" t="n">
        <x:v>0.41379310344827586</x:v>
      </x:c>
    </x:row>
    <x:row r="4">
      <x:c r="A4" t="str">
        <x:v>Equal Weight Benchmark</x:v>
      </x:c>
      <x:c r="B4" s="10" t="n">
        <x:v>0.12284482380224304</x:v>
      </x:c>
      <x:c r="C4" s="10" t="n">
        <x:v>0.14940623795199562</x:v>
      </x:c>
      <x:c r="D4" s="12" t="n">
        <x:v>0.8222201795999523</x:v>
      </x:c>
      <x:c r="E4" s="10" t="n">
        <x:v>-0.15370626942809218</x:v>
      </x:c>
      <x:c r="F4" s="10" t="n">
        <x:v>0.6206896551724138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5" t="str">
        <x:v>Date</x:v>
      </x:c>
      <x:c r="B1" s="5" t="str">
        <x:v>Asset</x:v>
      </x:c>
      <x:c r="C1" s="5" t="str">
        <x:v>Dynamic Score</x:v>
      </x:c>
      <x:c r="D1" s="5" t="str">
        <x:v>Static Score</x:v>
      </x:c>
      <x:c r="E1" s="5" t="str">
        <x:v>Dynamic Weight</x:v>
      </x:c>
      <x:c r="F1" s="5" t="str">
        <x:v>Static Weight</x:v>
      </x:c>
      <x:c r="G1" s="5" t="str">
        <x:v>Next Month Return (Dummy)</x:v>
      </x:c>
    </x:row>
    <x:row r="2">
      <x:c r="A2" s="14" t="n">
        <x:v>46171</x:v>
      </x:c>
      <x:c r="B2" t="str">
        <x:v>NKY</x:v>
      </x:c>
      <x:c r="C2" s="16" t="n">
        <x:v>0.1273053645343163</x:v>
      </x:c>
      <x:c r="D2" s="16" t="n">
        <x:v>0.13124651512140698</x:v>
      </x:c>
      <x:c r="E2" s="10" t="n">
        <x:v>0.1955511706651352</x:v>
      </x:c>
      <x:c r="F2" s="10" t="n">
        <x:v>0.19605189969000184</x:v>
      </x:c>
      <x:c r="G2" s="10" t="n">
        <x:v>0.022222121655004</x:v>
      </x:c>
    </x:row>
    <x:row r="3">
      <x:c r="A3" s="14" t="n">
        <x:v>46171</x:v>
      </x:c>
      <x:c r="B3" t="str">
        <x:v>FTSE</x:v>
      </x:c>
      <x:c r="C3" s="16" t="n">
        <x:v>0.0951580309054065</x:v>
      </x:c>
      <x:c r="D3" s="16" t="n">
        <x:v>0.09806032592037492</x:v>
      </x:c>
      <x:c r="E3" s="10" t="n">
        <x:v>0.13196728627829116</x:v>
      </x:c>
      <x:c r="F3" s="10" t="n">
        <x:v>0.13595625470341935</x:v>
      </x:c>
      <x:c r="G3" s="10" t="n">
        <x:v>0.0238301251297092</x:v>
      </x:c>
    </x:row>
    <x:row r="4">
      <x:c r="A4" s="14" t="n">
        <x:v>46171</x:v>
      </x:c>
      <x:c r="B4" t="str">
        <x:v>HSI</x:v>
      </x:c>
      <x:c r="C4" s="16" t="n">
        <x:v>0.09410377292242</x:v>
      </x:c>
      <x:c r="D4" s="16" t="n">
        <x:v>0.09351058339723146</x:v>
      </x:c>
      <x:c r="E4" s="10" t="n">
        <x:v>0.07129512961589786</x:v>
      </x:c>
      <x:c r="F4" s="10" t="n">
        <x:v>0.06908640655041705</x:v>
      </x:c>
      <x:c r="G4" s="10" t="n">
        <x:v>0.0696809724724925</x:v>
      </x:c>
    </x:row>
    <x:row r="5">
      <x:c r="A5" s="14" t="n">
        <x:v>46171</x:v>
      </x:c>
      <x:c r="B5" t="str">
        <x:v>KOSPI</x:v>
      </x:c>
      <x:c r="C5" s="16" t="n">
        <x:v>0.07229332240728498</x:v>
      </x:c>
      <x:c r="D5" s="16" t="n">
        <x:v>0.07032700266430059</x:v>
      </x:c>
      <x:c r="E5" s="10" t="n">
        <x:v>0.050950797127151747</x:v>
      </x:c>
      <x:c r="F5" s="10" t="n">
        <x:v>0.047667950962879936</x:v>
      </x:c>
      <x:c r="G5" s="10" t="n">
        <x:v>0.0516393405142336</x:v>
      </x:c>
    </x:row>
    <x:row r="6">
      <x:c r="A6" s="14" t="n">
        <x:v>46171</x:v>
      </x:c>
      <x:c r="B6" t="str">
        <x:v>NDX</x:v>
      </x:c>
      <x:c r="C6" s="16" t="n">
        <x:v>0.06688968776733605</x:v>
      </x:c>
      <x:c r="D6" s="16" t="n">
        <x:v>0.06743207000328687</x:v>
      </x:c>
      <x:c r="E6" s="10" t="n">
        <x:v>0.04121528190410233</x:v>
      </x:c>
      <x:c r="F6" s="10" t="n">
        <x:v>0.04215835598220344</x:v>
      </x:c>
      <x:c r="G6" s="10" t="n">
        <x:v>0.06730865466377</x:v>
      </x:c>
    </x:row>
    <x:row r="7">
      <x:c r="A7" s="14" t="n">
        <x:v>46171</x:v>
      </x:c>
      <x:c r="B7" t="str">
        <x:v>RTY</x:v>
      </x:c>
      <x:c r="C7" s="16" t="n">
        <x:v>0.04749402546856911</x:v>
      </x:c>
      <x:c r="D7" s="16" t="n">
        <x:v>0.046612972248947906</x:v>
      </x:c>
      <x:c r="E7" s="10" t="n">
        <x:v>0.009020334409421661</x:v>
      </x:c>
      <x:c r="F7" s="10" t="n">
        <x:v>0.00907913211107836</x:v>
      </x:c>
      <x:c r="G7" s="10" t="n">
        <x:v>0.1224717812925686</x:v>
      </x:c>
    </x:row>
    <x:row r="8">
      <x:c r="A8" s="14" t="n">
        <x:v>46171</x:v>
      </x:c>
      <x:c r="B8" t="str">
        <x:v>ASX</x:v>
      </x:c>
      <x:c r="C8" s="16" t="n">
        <x:v>0.03466567749630421</x:v>
      </x:c>
      <x:c r="D8" s="16" t="n">
        <x:v>0.03382836459195443</x:v>
      </x:c>
      <x:c r="E8" s="10" t="n">
        <x:v>-0.011001453467575828</x:v>
      </x:c>
      <x:c r="F8" s="10" t="n">
        <x:v>-0.009662245116566144</x:v>
      </x:c>
      <x:c r="G8" s="10" t="n">
        <x:v>0.0217152129943363</x:v>
      </x:c>
    </x:row>
    <x:row r="9">
      <x:c r="A9" s="14" t="n">
        <x:v>46171</x:v>
      </x:c>
      <x:c r="B9" t="str">
        <x:v>HSCEI</x:v>
      </x:c>
      <x:c r="C9" s="16" t="n">
        <x:v>0.029516049413918173</x:v>
      </x:c>
      <x:c r="D9" s="16" t="n">
        <x:v>0.027724525108900454</x:v>
      </x:c>
      <x:c r="E9" s="10" t="n">
        <x:v>-0.017199988740531528</x:v>
      </x:c>
      <x:c r="F9" s="10" t="n">
        <x:v>-0.0173197002089065</x:v>
      </x:c>
      <x:c r="G9" s="10" t="n">
        <x:v>-0.0044758754225756</x:v>
      </x:c>
    </x:row>
    <x:row r="10">
      <x:c r="A10" s="14" t="n">
        <x:v>46171</x:v>
      </x:c>
      <x:c r="B10" t="str">
        <x:v>SX5E</x:v>
      </x:c>
      <x:c r="C10" s="16" t="n">
        <x:v>-0.02063878227070215</x:v>
      </x:c>
      <x:c r="D10" s="16" t="n">
        <x:v>-0.024902052520616974</x:v>
      </x:c>
      <x:c r="E10" s="10" t="n">
        <x:v>-0.08475907934759076</x:v>
      </x:c>
      <x:c r="F10" s="10" t="n">
        <x:v>-0.0852452411482578</x:v>
      </x:c>
      <x:c r="G10" s="10" t="n">
        <x:v>0.0108680602154831</x:v>
      </x:c>
    </x:row>
    <x:row r="11">
      <x:c r="A11" s="14" t="n">
        <x:v>46171</x:v>
      </x:c>
      <x:c r="B11" t="str">
        <x:v>DAX</x:v>
      </x:c>
      <x:c r="C11" s="16" t="n">
        <x:v>-0.014612288948351607</x:v>
      </x:c>
      <x:c r="D11" s="16" t="n">
        <x:v>-0.017022805849609014</x:v>
      </x:c>
      <x:c r="E11" s="10" t="n">
        <x:v>-0.08557699840272494</x:v>
      </x:c>
      <x:c r="F11" s="10" t="n">
        <x:v>-0.0837751241968466</x:v>
      </x:c>
      <x:c r="G11" s="10" t="n">
        <x:v>0.0421510195516841</x:v>
      </x:c>
    </x:row>
    <x:row r="12">
      <x:c r="A12" s="14" t="n">
        <x:v>46171</x:v>
      </x:c>
      <x:c r="B12" t="str">
        <x:v>TPX</x:v>
      </x:c>
      <x:c r="C12" s="16" t="n">
        <x:v>-0.029768452091603698</x:v>
      </x:c>
      <x:c r="D12" s="16" t="n">
        <x:v>-0.03518504316832864</x:v>
      </x:c>
      <x:c r="E12" s="10" t="n">
        <x:v>-0.11411541196418529</x:v>
      </x:c>
      <x:c r="F12" s="10" t="n">
        <x:v>-0.11585973311950146</x:v>
      </x:c>
      <x:c r="G12" s="10" t="n">
        <x:v>0.0378036086114126</x:v>
      </x:c>
    </x:row>
    <x:row r="13">
      <x:c r="A13" s="14" t="n">
        <x:v>46171</x:v>
      </x:c>
      <x:c r="B13" t="str">
        <x:v>SPX</x:v>
      </x:c>
      <x:c r="C13" s="16" t="n">
        <x:v>-0.05969979449288046</x:v>
      </x:c>
      <x:c r="D13" s="16" t="n">
        <x:v>-0.06573794491661919</x:v>
      </x:c>
      <x:c r="E13" s="10" t="n">
        <x:v>-0.1873470680773916</x:v>
      </x:c>
      <x:c r="F13" s="10" t="n">
        <x:v>-0.18813795620992155</x:v>
      </x:c>
      <x:c r="G13" s="10" t="n">
        <x:v>0.0888704877280754</x:v>
      </x:c>
    </x:row>
  </x:sheetData>
  <x:conditionalFormatting sqref="E2:E13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{3080323C-505E-47BA-E559-0B615A48D478}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116bb7d5cb1404f"/>
  <x:tableParts count="1">
    <x:tablePart xmlns:r="http://schemas.openxmlformats.org/officeDocument/2006/relationships" r:id="Re2b1ee9be1814e8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080323C-505E-47BA-E559-0B615A48D478}">
            <x14:dataBar gradient="1">
              <x14:cfvo type="min"/>
              <x14:cfvo type="max"/>
              <x14:fillColor rgb="FF4472C4"/>
            </x14:dataBar>
          </x14:cfRule>
          <xm:sqref>E2:E13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5" t="str">
        <x:v>Model</x:v>
      </x:c>
      <x:c r="B1" s="5" t="str">
        <x:v>Average Rank IC</x:v>
      </x:c>
      <x:c r="C1" s="5" t="str">
        <x:v>Rank IC Std</x:v>
      </x:c>
      <x:c r="D1" s="5" t="str">
        <x:v>ICIR</x:v>
      </x:c>
      <x:c r="E1" s="5" t="str">
        <x:v>Latest Dynamic Weight</x:v>
      </x:c>
    </x:row>
    <x:row r="2">
      <x:c r="A2" t="str">
        <x:v>Rule</x:v>
      </x:c>
      <x:c r="B2" s="16" t="n">
        <x:v>0.010947791452545843</x:v>
      </x:c>
      <x:c r="C2" s="16" t="n">
        <x:v>0.28077618421756656</x:v>
      </x:c>
      <x:c r="D2" s="16" t="n">
        <x:v>0.03899102942802753</x:v>
      </x:c>
      <x:c r="E2" s="10" t="n">
        <x:v>0.19320421425846585</x:v>
      </x:c>
    </x:row>
    <x:row r="3">
      <x:c r="A3" t="str">
        <x:v>Ridge</x:v>
      </x:c>
      <x:c r="B3" s="16" t="n">
        <x:v>0.0016879672052085887</x:v>
      </x:c>
      <x:c r="C3" s="16" t="n">
        <x:v>0.38275663458413184</x:v>
      </x:c>
      <x:c r="D3" s="16" t="n">
        <x:v>0.004410015771579773</x:v>
      </x:c>
      <x:c r="E3" s="10" t="n">
        <x:v>0.19001990224198503</x:v>
      </x:c>
    </x:row>
    <x:row r="4">
      <x:c r="A4" t="str">
        <x:v>RandomForest</x:v>
      </x:c>
      <x:c r="B4" s="16" t="n">
        <x:v>0.04846877260670367</x:v>
      </x:c>
      <x:c r="C4" s="16" t="n">
        <x:v>0.2868651131504332</x:v>
      </x:c>
      <x:c r="D4" s="16" t="n">
        <x:v>0.16895956121971972</x:v>
      </x:c>
      <x:c r="E4" s="10" t="n">
        <x:v>0.2073784749366711</x:v>
      </x:c>
    </x:row>
    <x:row r="5">
      <x:c r="A5" t="str">
        <x:v>LightGBM</x:v>
      </x:c>
      <x:c r="B5" s="16" t="n">
        <x:v>0.06414275379792621</x:v>
      </x:c>
      <x:c r="C5" s="16" t="n">
        <x:v>0.2877291824378875</x:v>
      </x:c>
      <x:c r="D5" s="16" t="n">
        <x:v>0.22292674774142876</x:v>
      </x:c>
      <x:c r="E5" s="10" t="n">
        <x:v>0.2189419990912045</x:v>
      </x:c>
    </x:row>
    <x:row r="6">
      <x:c r="A6" t="str">
        <x:v>Transformer</x:v>
      </x:c>
      <x:c r="B6" s="16" t="n">
        <x:v>-0.07547624789004098</x:v>
      </x:c>
      <x:c r="C6" s="16" t="n">
        <x:v>0.26529604825134145</x:v>
      </x:c>
      <x:c r="D6" s="16" t="n">
        <x:v>-0.2844971264758855</x:v>
      </x:c>
      <x:c r="E6" s="10" t="n">
        <x:v>0.1904554094716735</x:v>
      </x:c>
    </x:row>
  </x:sheetData>
  <x:conditionalFormatting sqref="B2:B6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e5b07ac6a2384c10"/>
  <x:tableParts count="1">
    <x:tablePart xmlns:r="http://schemas.openxmlformats.org/officeDocument/2006/relationships" r:id="Rda80baae105549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Date</x:v>
      </x:c>
      <x:c r="B1" s="5" t="str">
        <x:v>Rule</x:v>
      </x:c>
      <x:c r="C1" s="5" t="str">
        <x:v>Ridge</x:v>
      </x:c>
      <x:c r="D1" s="5" t="str">
        <x:v>RandomForest</x:v>
      </x:c>
      <x:c r="E1" s="5" t="str">
        <x:v>LightGBM</x:v>
      </x:c>
      <x:c r="F1" s="5" t="str">
        <x:v>Transformer</x:v>
      </x:c>
    </x:row>
    <x:row r="2">
      <x:c r="A2" s="14" t="n">
        <x:v>45322</x:v>
      </x:c>
      <x:c r="B2" s="10" t="n">
        <x:v>0.2</x:v>
      </x:c>
      <x:c r="C2" s="10" t="n">
        <x:v>0.2</x:v>
      </x:c>
      <x:c r="D2" s="10" t="n">
        <x:v>0.2</x:v>
      </x:c>
      <x:c r="E2" s="10" t="n">
        <x:v>0.2</x:v>
      </x:c>
      <x:c r="F2" s="10" t="n">
        <x:v>0.2</x:v>
      </x:c>
    </x:row>
    <x:row r="3">
      <x:c r="A3" s="14" t="n">
        <x:v>45351</x:v>
      </x:c>
      <x:c r="B3" s="10" t="n">
        <x:v>0.2</x:v>
      </x:c>
      <x:c r="C3" s="10" t="n">
        <x:v>0.2</x:v>
      </x:c>
      <x:c r="D3" s="10" t="n">
        <x:v>0.2</x:v>
      </x:c>
      <x:c r="E3" s="10" t="n">
        <x:v>0.2</x:v>
      </x:c>
      <x:c r="F3" s="10" t="n">
        <x:v>0.2</x:v>
      </x:c>
    </x:row>
    <x:row r="4">
      <x:c r="A4" s="14" t="n">
        <x:v>45380</x:v>
      </x:c>
      <x:c r="B4" s="10" t="n">
        <x:v>0.2</x:v>
      </x:c>
      <x:c r="C4" s="10" t="n">
        <x:v>0.2</x:v>
      </x:c>
      <x:c r="D4" s="10" t="n">
        <x:v>0.2</x:v>
      </x:c>
      <x:c r="E4" s="10" t="n">
        <x:v>0.2</x:v>
      </x:c>
      <x:c r="F4" s="10" t="n">
        <x:v>0.2</x:v>
      </x:c>
    </x:row>
    <x:row r="5">
      <x:c r="A5" s="14" t="n">
        <x:v>45412</x:v>
      </x:c>
      <x:c r="B5" s="10" t="n">
        <x:v>0.2</x:v>
      </x:c>
      <x:c r="C5" s="10" t="n">
        <x:v>0.2</x:v>
      </x:c>
      <x:c r="D5" s="10" t="n">
        <x:v>0.2</x:v>
      </x:c>
      <x:c r="E5" s="10" t="n">
        <x:v>0.2</x:v>
      </x:c>
      <x:c r="F5" s="10" t="n">
        <x:v>0.2</x:v>
      </x:c>
    </x:row>
    <x:row r="6">
      <x:c r="A6" s="14" t="n">
        <x:v>45443</x:v>
      </x:c>
      <x:c r="B6" s="10" t="n">
        <x:v>0.2226379487142081</x:v>
      </x:c>
      <x:c r="C6" s="10" t="n">
        <x:v>0.18722801407310263</x:v>
      </x:c>
      <x:c r="D6" s="10" t="n">
        <x:v>0.1901224495509274</x:v>
      </x:c>
      <x:c r="E6" s="10" t="n">
        <x:v>0.20669522347041086</x:v>
      </x:c>
      <x:c r="F6" s="10" t="n">
        <x:v>0.19331636419135093</x:v>
      </x:c>
    </x:row>
    <x:row r="7">
      <x:c r="A7" s="14" t="n">
        <x:v>45471</x:v>
      </x:c>
      <x:c r="B7" s="10" t="n">
        <x:v>0.20939473862717814</x:v>
      </x:c>
      <x:c r="C7" s="10" t="n">
        <x:v>0.19846136958338145</x:v>
      </x:c>
      <x:c r="D7" s="10" t="n">
        <x:v>0.192887692799299</x:v>
      </x:c>
      <x:c r="E7" s="10" t="n">
        <x:v>0.20898422995621382</x:v>
      </x:c>
      <x:c r="F7" s="10" t="n">
        <x:v>0.19027196903392762</x:v>
      </x:c>
    </x:row>
    <x:row r="8">
      <x:c r="A8" s="14" t="n">
        <x:v>45504</x:v>
      </x:c>
      <x:c r="B8" s="10" t="n">
        <x:v>0.20853248841360902</x:v>
      </x:c>
      <x:c r="C8" s="10" t="n">
        <x:v>0.1984270130813027</x:v>
      </x:c>
      <x:c r="D8" s="10" t="n">
        <x:v>0.19657008823983596</x:v>
      </x:c>
      <x:c r="E8" s="10" t="n">
        <x:v>0.21052759477237518</x:v>
      </x:c>
      <x:c r="F8" s="10" t="n">
        <x:v>0.18594281549287722</x:v>
      </x:c>
    </x:row>
    <x:row r="9">
      <x:c r="A9" s="14" t="n">
        <x:v>45534</x:v>
      </x:c>
      <x:c r="B9" s="10" t="n">
        <x:v>0.20832976213565585</x:v>
      </x:c>
      <x:c r="C9" s="10" t="n">
        <x:v>0.2010129156650607</x:v>
      </x:c>
      <x:c r="D9" s="10" t="n">
        <x:v>0.20301339201329882</x:v>
      </x:c>
      <x:c r="E9" s="10" t="n">
        <x:v>0.2004451922535133</x:v>
      </x:c>
      <x:c r="F9" s="10" t="n">
        <x:v>0.18719873793247127</x:v>
      </x:c>
    </x:row>
    <x:row r="10">
      <x:c r="A10" s="14" t="n">
        <x:v>45565</x:v>
      </x:c>
      <x:c r="B10" s="10" t="n">
        <x:v>0.20218574054644275</x:v>
      </x:c>
      <x:c r="C10" s="10" t="n">
        <x:v>0.20308639930549635</x:v>
      </x:c>
      <x:c r="D10" s="10" t="n">
        <x:v>0.2050510823268235</x:v>
      </x:c>
      <x:c r="E10" s="10" t="n">
        <x:v>0.20424372942144287</x:v>
      </x:c>
      <x:c r="F10" s="10" t="n">
        <x:v>0.18543304839979444</x:v>
      </x:c>
    </x:row>
    <x:row r="11">
      <x:c r="A11" s="14" t="n">
        <x:v>45596</x:v>
      </x:c>
      <x:c r="B11" s="10" t="n">
        <x:v>0.2045731761162146</x:v>
      </x:c>
      <x:c r="C11" s="10" t="n">
        <x:v>0.2047331991200859</x:v>
      </x:c>
      <x:c r="D11" s="10" t="n">
        <x:v>0.2046602238736683</x:v>
      </x:c>
      <x:c r="E11" s="10" t="n">
        <x:v>0.2012991741898925</x:v>
      </x:c>
      <x:c r="F11" s="10" t="n">
        <x:v>0.18473422670013878</x:v>
      </x:c>
    </x:row>
    <x:row r="12">
      <x:c r="A12" s="14" t="n">
        <x:v>45625</x:v>
      </x:c>
      <x:c r="B12" s="10" t="n">
        <x:v>0.2082166329821172</x:v>
      </x:c>
      <x:c r="C12" s="10" t="n">
        <x:v>0.2022896142475484</x:v>
      </x:c>
      <x:c r="D12" s="10" t="n">
        <x:v>0.202871877179776</x:v>
      </x:c>
      <x:c r="E12" s="10" t="n">
        <x:v>0.1999057413244995</x:v>
      </x:c>
      <x:c r="F12" s="10" t="n">
        <x:v>0.18671613426605893</x:v>
      </x:c>
    </x:row>
    <x:row r="13">
      <x:c r="A13" s="14" t="n">
        <x:v>45657</x:v>
      </x:c>
      <x:c r="B13" s="10" t="n">
        <x:v>0.20544622718333366</x:v>
      </x:c>
      <x:c r="C13" s="10" t="n">
        <x:v>0.20589449939629978</x:v>
      </x:c>
      <x:c r="D13" s="10" t="n">
        <x:v>0.2019581850724486</x:v>
      </x:c>
      <x:c r="E13" s="10" t="n">
        <x:v>0.19675398639264538</x:v>
      </x:c>
      <x:c r="F13" s="10" t="n">
        <x:v>0.18994710195527267</x:v>
      </x:c>
    </x:row>
    <x:row r="14">
      <x:c r="A14" s="14" t="n">
        <x:v>45688</x:v>
      </x:c>
      <x:c r="B14" s="10" t="n">
        <x:v>0.20385015271008713</x:v>
      </x:c>
      <x:c r="C14" s="10" t="n">
        <x:v>0.20864193504615394</x:v>
      </x:c>
      <x:c r="D14" s="10" t="n">
        <x:v>0.20526427461137012</x:v>
      </x:c>
      <x:c r="E14" s="10" t="n">
        <x:v>0.19327232686526366</x:v>
      </x:c>
      <x:c r="F14" s="10" t="n">
        <x:v>0.1889713107671252</x:v>
      </x:c>
    </x:row>
    <x:row r="15">
      <x:c r="A15" s="14" t="n">
        <x:v>45716</x:v>
      </x:c>
      <x:c r="B15" s="10" t="n">
        <x:v>0.19911306509388071</x:v>
      </x:c>
      <x:c r="C15" s="10" t="n">
        <x:v>0.2102151300776574</x:v>
      </x:c>
      <x:c r="D15" s="10" t="n">
        <x:v>0.20332199027807896</x:v>
      </x:c>
      <x:c r="E15" s="10" t="n">
        <x:v>0.19915339861172737</x:v>
      </x:c>
      <x:c r="F15" s="10" t="n">
        <x:v>0.1881964159386555</x:v>
      </x:c>
    </x:row>
    <x:row r="16">
      <x:c r="A16" s="14" t="n">
        <x:v>45747</x:v>
      </x:c>
      <x:c r="B16" s="10" t="n">
        <x:v>0.20194136051132802</x:v>
      </x:c>
      <x:c r="C16" s="10" t="n">
        <x:v>0.2107075663862601</x:v>
      </x:c>
      <x:c r="D16" s="10" t="n">
        <x:v>0.20400164397497464</x:v>
      </x:c>
      <x:c r="E16" s="10" t="n">
        <x:v>0.1985163547623186</x:v>
      </x:c>
      <x:c r="F16" s="10" t="n">
        <x:v>0.18483307436511864</x:v>
      </x:c>
    </x:row>
    <x:row r="17">
      <x:c r="A17" s="14" t="n">
        <x:v>45777</x:v>
      </x:c>
      <x:c r="B17" s="10" t="n">
        <x:v>0.19374344521406453</x:v>
      </x:c>
      <x:c r="C17" s="10" t="n">
        <x:v>0.22134985033442084</x:v>
      </x:c>
      <x:c r="D17" s="10" t="n">
        <x:v>0.2021377421091739</x:v>
      </x:c>
      <x:c r="E17" s="10" t="n">
        <x:v>0.19595650723865876</x:v>
      </x:c>
      <x:c r="F17" s="10" t="n">
        <x:v>0.1868124551036821</x:v>
      </x:c>
    </x:row>
    <x:row r="18">
      <x:c r="A18" s="14" t="n">
        <x:v>45807</x:v>
      </x:c>
      <x:c r="B18" s="10" t="n">
        <x:v>0.19781644677227808</x:v>
      </x:c>
      <x:c r="C18" s="10" t="n">
        <x:v>0.2153278414587428</x:v>
      </x:c>
      <x:c r="D18" s="10" t="n">
        <x:v>0.20232920879606006</x:v>
      </x:c>
      <x:c r="E18" s="10" t="n">
        <x:v>0.19710008605950477</x:v>
      </x:c>
      <x:c r="F18" s="10" t="n">
        <x:v>0.18742641691341425</x:v>
      </x:c>
    </x:row>
    <x:row r="19">
      <x:c r="A19" s="14" t="n">
        <x:v>45838</x:v>
      </x:c>
      <x:c r="B19" s="10" t="n">
        <x:v>0.20314591503323495</x:v>
      </x:c>
      <x:c r="C19" s="10" t="n">
        <x:v>0.2092568617385182</x:v>
      </x:c>
      <x:c r="D19" s="10" t="n">
        <x:v>0.20226447214059068</x:v>
      </x:c>
      <x:c r="E19" s="10" t="n">
        <x:v>0.19644464820014784</x:v>
      </x:c>
      <x:c r="F19" s="10" t="n">
        <x:v>0.18888810288750818</x:v>
      </x:c>
    </x:row>
    <x:row r="20">
      <x:c r="A20" s="14" t="n">
        <x:v>45869</x:v>
      </x:c>
      <x:c r="B20" s="10" t="n">
        <x:v>0.20153205146711894</x:v>
      </x:c>
      <x:c r="C20" s="10" t="n">
        <x:v>0.2100056244277355</x:v>
      </x:c>
      <x:c r="D20" s="10" t="n">
        <x:v>0.20281828574459337</x:v>
      </x:c>
      <x:c r="E20" s="10" t="n">
        <x:v>0.1961765475712501</x:v>
      </x:c>
      <x:c r="F20" s="10" t="n">
        <x:v>0.18946749078930197</x:v>
      </x:c>
    </x:row>
    <x:row r="21">
      <x:c r="A21" s="14" t="n">
        <x:v>45898</x:v>
      </x:c>
      <x:c r="B21" s="10" t="n">
        <x:v>0.19951820640909868</x:v>
      </x:c>
      <x:c r="C21" s="10" t="n">
        <x:v>0.205641809350657</x:v>
      </x:c>
      <x:c r="D21" s="10" t="n">
        <x:v>0.19840083063983235</x:v>
      </x:c>
      <x:c r="E21" s="10" t="n">
        <x:v>0.20291556097084923</x:v>
      </x:c>
      <x:c r="F21" s="10" t="n">
        <x:v>0.19352359262956265</x:v>
      </x:c>
    </x:row>
    <x:row r="22">
      <x:c r="A22" s="14" t="n">
        <x:v>45930</x:v>
      </x:c>
      <x:c r="B22" s="10" t="n">
        <x:v>0.20347354697074432</x:v>
      </x:c>
      <x:c r="C22" s="10" t="n">
        <x:v>0.20126085751088044</x:v>
      </x:c>
      <x:c r="D22" s="10" t="n">
        <x:v>0.19648173657577214</x:v>
      </x:c>
      <x:c r="E22" s="10" t="n">
        <x:v>0.20261813838978546</x:v>
      </x:c>
      <x:c r="F22" s="10" t="n">
        <x:v>0.1961657205528177</x:v>
      </x:c>
    </x:row>
    <x:row r="23">
      <x:c r="A23" s="14" t="n">
        <x:v>45961</x:v>
      </x:c>
      <x:c r="B23" s="10" t="n">
        <x:v>0.19781306287954092</x:v>
      </x:c>
      <x:c r="C23" s="10" t="n">
        <x:v>0.20354395393131938</x:v>
      </x:c>
      <x:c r="D23" s="10" t="n">
        <x:v>0.19440183174682127</x:v>
      </x:c>
      <x:c r="E23" s="10" t="n">
        <x:v>0.2038611383799958</x:v>
      </x:c>
      <x:c r="F23" s="10" t="n">
        <x:v>0.20038001306232267</x:v>
      </x:c>
    </x:row>
    <x:row r="24">
      <x:c r="A24" s="14" t="n">
        <x:v>45989</x:v>
      </x:c>
      <x:c r="B24" s="10" t="n">
        <x:v>0.19370831122286628</x:v>
      </x:c>
      <x:c r="C24" s="10" t="n">
        <x:v>0.2020874680944083</x:v>
      </x:c>
      <x:c r="D24" s="10" t="n">
        <x:v>0.19733172436563384</x:v>
      </x:c>
      <x:c r="E24" s="10" t="n">
        <x:v>0.2077883550077412</x:v>
      </x:c>
      <x:c r="F24" s="10" t="n">
        <x:v>0.1990841413093504</x:v>
      </x:c>
    </x:row>
    <x:row r="25">
      <x:c r="A25" s="14" t="n">
        <x:v>46022</x:v>
      </x:c>
      <x:c r="B25" s="10" t="n">
        <x:v>0.19356774418939576</x:v>
      </x:c>
      <x:c r="C25" s="10" t="n">
        <x:v>0.1983740226739125</x:v>
      </x:c>
      <x:c r="D25" s="10" t="n">
        <x:v>0.2036316549977013</x:v>
      </x:c>
      <x:c r="E25" s="10" t="n">
        <x:v>0.21119318863582343</x:v>
      </x:c>
      <x:c r="F25" s="10" t="n">
        <x:v>0.19323338950316699</x:v>
      </x:c>
    </x:row>
    <x:row r="26">
      <x:c r="A26" s="14" t="n">
        <x:v>46052</x:v>
      </x:c>
      <x:c r="B26" s="10" t="n">
        <x:v>0.1951408183857033</x:v>
      </x:c>
      <x:c r="C26" s="10" t="n">
        <x:v>0.19377371007625915</x:v>
      </x:c>
      <x:c r="D26" s="10" t="n">
        <x:v>0.1991890801992904</x:v>
      </x:c>
      <x:c r="E26" s="10" t="n">
        <x:v>0.21776834637798542</x:v>
      </x:c>
      <x:c r="F26" s="10" t="n">
        <x:v>0.19412804496076164</x:v>
      </x:c>
    </x:row>
    <x:row r="27">
      <x:c r="A27" s="14" t="n">
        <x:v>46080</x:v>
      </x:c>
      <x:c r="B27" s="10" t="n">
        <x:v>0.19723975721020337</x:v>
      </x:c>
      <x:c r="C27" s="10" t="n">
        <x:v>0.19413973374236324</x:v>
      </x:c>
      <x:c r="D27" s="10" t="n">
        <x:v>0.2006981184774697</x:v>
      </x:c>
      <x:c r="E27" s="10" t="n">
        <x:v>0.21477089786109563</x:v>
      </x:c>
      <x:c r="F27" s="10" t="n">
        <x:v>0.19315149270886814</x:v>
      </x:c>
    </x:row>
    <x:row r="28">
      <x:c r="A28" s="14" t="n">
        <x:v>46112</x:v>
      </x:c>
      <x:c r="B28" s="10" t="n">
        <x:v>0.19564727766864418</x:v>
      </x:c>
      <x:c r="C28" s="10" t="n">
        <x:v>0.19355570302732328</x:v>
      </x:c>
      <x:c r="D28" s="10" t="n">
        <x:v>0.20074883090231535</x:v>
      </x:c>
      <x:c r="E28" s="10" t="n">
        <x:v>0.22019436955115881</x:v>
      </x:c>
      <x:c r="F28" s="10" t="n">
        <x:v>0.18985381885055844</x:v>
      </x:c>
    </x:row>
    <x:row r="29">
      <x:c r="A29" s="14" t="n">
        <x:v>46142</x:v>
      </x:c>
      <x:c r="B29" s="10" t="n">
        <x:v>0.2000791100682218</x:v>
      </x:c>
      <x:c r="C29" s="10" t="n">
        <x:v>0.18833844735257516</x:v>
      </x:c>
      <x:c r="D29" s="10" t="n">
        <x:v>0.2033513146423446</x:v>
      </x:c>
      <x:c r="E29" s="10" t="n">
        <x:v>0.22137258429768045</x:v>
      </x:c>
      <x:c r="F29" s="10" t="n">
        <x:v>0.186858543639178</x:v>
      </x:c>
    </x:row>
    <x:row r="30">
      <x:c r="A30" s="14" t="n">
        <x:v>46171</x:v>
      </x:c>
      <x:c r="B30" s="10" t="n">
        <x:v>0.19320421425846585</x:v>
      </x:c>
      <x:c r="C30" s="10" t="n">
        <x:v>0.19001990224198503</x:v>
      </x:c>
      <x:c r="D30" s="10" t="n">
        <x:v>0.2073784749366711</x:v>
      </x:c>
      <x:c r="E30" s="10" t="n">
        <x:v>0.2189419990912045</x:v>
      </x:c>
      <x:c r="F30" s="10" t="n">
        <x:v>0.1904554094716735</x:v>
      </x:c>
    </x:row>
  </x:sheetData>
  <x:pageMargins left="0.7" right="0.7" top="0.75" bottom="0.75" header="0.3" footer="0.3"/>
  <x:drawing xmlns:r="http://schemas.openxmlformats.org/officeDocument/2006/relationships" r:id="R72546ee2cef24ff4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Asset</x:v>
      </x:c>
      <x:c r="B1" s="5" t="str">
        <x:v>Persistence</x:v>
      </x:c>
      <x:c r="C1" s="5" t="str">
        <x:v>Correction</x:v>
      </x:c>
      <x:c r="D1" s="5" t="str">
        <x:v>Volatility Support</x:v>
      </x:c>
      <x:c r="E1" s="5" t="str">
        <x:v>Flow</x:v>
      </x:c>
      <x:c r="F1" s="5" t="str">
        <x:v>Relative Strength</x:v>
      </x:c>
      <x:c r="G1" s="5" t="str">
        <x:v>Intermarket</x:v>
      </x:c>
      <x:c r="H1" s="5" t="str">
        <x:v>Macro Market</x:v>
      </x:c>
    </x:row>
    <x:row r="2">
      <x:c r="A2" t="str">
        <x:v>ASX</x:v>
      </x:c>
      <x:c r="B2" s="18" t="n">
        <x:v>0.7335978835978836</x:v>
      </x:c>
      <x:c r="C2" s="18" t="n">
        <x:v>0.2277777777777777</x:v>
      </x:c>
      <x:c r="D2" s="18" t="n">
        <x:v>0.516005291005291</x:v>
      </x:c>
      <x:c r="E2" s="18" t="n">
        <x:v>0.4694376207273033</x:v>
      </x:c>
      <x:c r="F2" s="18" t="n">
        <x:v>0.8301587301587301</x:v>
      </x:c>
      <x:c r="G2" s="18" t="n">
        <x:v>0.3831349206349206</x:v>
      </x:c>
      <x:c r="H2" s="18" t="n">
        <x:v>0.3032407407407407</x:v>
      </x:c>
    </x:row>
    <x:row r="3">
      <x:c r="A3" t="str">
        <x:v>DAX</x:v>
      </x:c>
      <x:c r="B3" s="18" t="n">
        <x:v>0.4561507936507936</x:v>
      </x:c>
      <x:c r="C3" s="18" t="n">
        <x:v>0.6075396825396826</x:v>
      </x:c>
      <x:c r="D3" s="18" t="n">
        <x:v>0.3789682539682539</x:v>
      </x:c>
      <x:c r="E3" s="18" t="n">
        <x:v>0.3977142297248117</x:v>
      </x:c>
      <x:c r="F3" s="18" t="n">
        <x:v>0.2738095238095238</x:v>
      </x:c>
      <x:c r="G3" s="18" t="n">
        <x:v>0.3831349206349206</x:v>
      </x:c>
      <x:c r="H3" s="18" t="n">
        <x:v>0.3926587301587301</x:v>
      </x:c>
    </x:row>
    <x:row r="4">
      <x:c r="A4" t="str">
        <x:v>FTSE</x:v>
      </x:c>
      <x:c r="B4" s="18" t="n">
        <x:v>0.3935846560846561</x:v>
      </x:c>
      <x:c r="C4" s="18" t="n">
        <x:v>0.3537037037037037</x:v>
      </x:c>
      <x:c r="D4" s="18" t="n">
        <x:v>0.6286375661375662</x:v>
      </x:c>
      <x:c r="E4" s="18" t="n">
        <x:v>0.4584190672153635</x:v>
      </x:c>
      <x:c r="F4" s="18" t="n">
        <x:v>0.5521825396825396</x:v>
      </x:c>
      <x:c r="G4" s="18" t="n">
        <x:v>0.3831349206349206</x:v>
      </x:c>
      <x:c r="H4" s="18" t="n">
        <x:v>0.3646164021164021</x:v>
      </x:c>
    </x:row>
    <x:row r="5">
      <x:c r="A5" t="str">
        <x:v>HSCEI</x:v>
      </x:c>
      <x:c r="B5" s="18" t="n">
        <x:v>0.2490740740740741</x:v>
      </x:c>
      <x:c r="C5" s="18" t="n">
        <x:v>0.6597883597883598</x:v>
      </x:c>
      <x:c r="D5" s="18" t="n">
        <x:v>0.6418650793650794</x:v>
      </x:c>
      <x:c r="E5" s="18" t="n">
        <x:v>0.3106750930825005</x:v>
      </x:c>
      <x:c r="F5" s="18" t="n">
        <x:v>0.2910714285714286</x:v>
      </x:c>
      <x:c r="G5" s="18" t="n">
        <x:v>0.3831349206349206</x:v>
      </x:c>
      <x:c r="H5" s="18" t="n">
        <x:v>0.3296957671957672</x:v>
      </x:c>
    </x:row>
    <x:row r="6">
      <x:c r="A6" t="str">
        <x:v>HSI</x:v>
      </x:c>
      <x:c r="B6" s="18" t="n">
        <x:v>0.6478835978835978</x:v>
      </x:c>
      <x:c r="C6" s="18" t="n">
        <x:v>0.3512200270178993</x:v>
      </x:c>
      <x:c r="D6" s="18" t="n">
        <x:v>0.4371693121693122</x:v>
      </x:c>
      <x:c r="E6" s="18" t="n">
        <x:v>0.5006071358584586</x:v>
      </x:c>
      <x:c r="F6" s="18" t="n">
        <x:v>0.8077380952380954</x:v>
      </x:c>
      <x:c r="G6" s="18" t="n">
        <x:v>0.3831349206349206</x:v>
      </x:c>
      <x:c r="H6" s="18" t="n">
        <x:v>0.3296957671957672</x:v>
      </x:c>
    </x:row>
    <x:row r="7">
      <x:c r="A7" t="str">
        <x:v>KOSPI</x:v>
      </x:c>
      <x:c r="B7" s="18" t="n">
        <x:v>0.594510582010582</x:v>
      </x:c>
      <x:c r="C7" s="18" t="n">
        <x:v>0.2842592592592593</x:v>
      </x:c>
      <x:c r="D7" s="18" t="n">
        <x:v>0.5702380952380951</x:v>
      </x:c>
      <x:c r="E7" s="18" t="n">
        <x:v>0.460572037456958</x:v>
      </x:c>
      <x:c r="F7" s="18" t="n">
        <x:v>0.7380952380952381</x:v>
      </x:c>
      <x:c r="G7" s="18" t="n">
        <x:v>0.3831349206349206</x:v>
      </x:c>
      <x:c r="H7" s="18" t="n">
        <x:v>0.3939814814814815</x:v>
      </x:c>
    </x:row>
    <x:row r="8">
      <x:c r="A8" t="str">
        <x:v>NDX</x:v>
      </x:c>
      <x:c r="B8" s="18" t="n">
        <x:v>0.6425264550264551</x:v>
      </x:c>
      <x:c r="C8" s="18" t="n">
        <x:v>0.3292328042328042</x:v>
      </x:c>
      <x:c r="D8" s="18" t="n">
        <x:v>0.4744708994708995</x:v>
      </x:c>
      <x:c r="E8" s="18" t="n">
        <x:v>0.5176086895663615</x:v>
      </x:c>
      <x:c r="F8" s="18" t="n">
        <x:v>0.6648809523809524</x:v>
      </x:c>
      <x:c r="G8" s="18" t="n">
        <x:v>0.3831349206349206</x:v>
      </x:c>
      <x:c r="H8" s="18" t="n">
        <x:v>0.2990079365079365</x:v>
      </x:c>
    </x:row>
    <x:row r="9">
      <x:c r="A9" t="str">
        <x:v>NKY</x:v>
      </x:c>
      <x:c r="B9" s="18" t="n">
        <x:v>0.6472222222222221</x:v>
      </x:c>
      <x:c r="C9" s="18" t="n">
        <x:v>0.5026929319758006</x:v>
      </x:c>
      <x:c r="D9" s="18" t="n">
        <x:v>0.7216931216931216</x:v>
      </x:c>
      <x:c r="E9" s="18" t="n">
        <x:v>0.4817588043447832</x:v>
      </x:c>
      <x:c r="F9" s="18" t="n">
        <x:v>0.633531746031746</x:v>
      </x:c>
      <x:c r="G9" s="18" t="n">
        <x:v>0.3831349206349206</x:v>
      </x:c>
      <x:c r="H9" s="18" t="n">
        <x:v>0.295568783068783</x:v>
      </x:c>
    </x:row>
    <x:row r="10">
      <x:c r="A10" t="str">
        <x:v>RTY</x:v>
      </x:c>
      <x:c r="B10" s="18" t="n">
        <x:v>0.4913359788359789</x:v>
      </x:c>
      <x:c r="C10" s="18" t="n">
        <x:v>0.614021164021164</x:v>
      </x:c>
      <x:c r="D10" s="18" t="n">
        <x:v>0.4656746031746032</x:v>
      </x:c>
      <x:c r="E10" s="18" t="n">
        <x:v>0.3700081884605694</x:v>
      </x:c>
      <x:c r="F10" s="18" t="n">
        <x:v>0.5807539682539682</x:v>
      </x:c>
      <x:c r="G10" s="18" t="n">
        <x:v>0.3831349206349206</x:v>
      </x:c>
      <x:c r="H10" s="18" t="n">
        <x:v>0.2990079365079365</x:v>
      </x:c>
    </x:row>
    <x:row r="11">
      <x:c r="A11" t="str">
        <x:v>SPX</x:v>
      </x:c>
      <x:c r="B11" s="18" t="n">
        <x:v>0.4128968253968254</x:v>
      </x:c>
      <x:c r="C11" s="18" t="n">
        <x:v>0.4701058201058201</x:v>
      </x:c>
      <x:c r="D11" s="18" t="n">
        <x:v>0.5191137566137566</x:v>
      </x:c>
      <x:c r="E11" s="18" t="n">
        <x:v>0.4778229192911732</x:v>
      </x:c>
      <x:c r="F11" s="18" t="n">
        <x:v>0.4224206349206348</x:v>
      </x:c>
      <x:c r="G11" s="18" t="n">
        <x:v>0.3831349206349206</x:v>
      </x:c>
      <x:c r="H11" s="18" t="n">
        <x:v>0.2990079365079365</x:v>
      </x:c>
    </x:row>
    <x:row r="12">
      <x:c r="A12" t="str">
        <x:v>SX5E</x:v>
      </x:c>
      <x:c r="B12" s="18" t="n">
        <x:v>0.361574074074074</x:v>
      </x:c>
      <x:c r="C12" s="18" t="n">
        <x:v>0.610978835978836</x:v>
      </x:c>
      <x:c r="D12" s="18" t="n">
        <x:v>0.2953703703703704</x:v>
      </x:c>
      <x:c r="E12" s="18" t="n">
        <x:v>0.3691560986534531</x:v>
      </x:c>
      <x:c r="F12" s="18" t="n">
        <x:v>0.341468253968254</x:v>
      </x:c>
      <x:c r="G12" s="18" t="n">
        <x:v>0.3831349206349206</x:v>
      </x:c>
      <x:c r="H12" s="18" t="n">
        <x:v>0.3926587301587301</x:v>
      </x:c>
    </x:row>
    <x:row r="13">
      <x:c r="A13" t="str">
        <x:v>TPX</x:v>
      </x:c>
      <x:c r="B13" s="18" t="n">
        <x:v>0.3244708994708994</x:v>
      </x:c>
      <x:c r="C13" s="18" t="n">
        <x:v>0.4671957671957673</x:v>
      </x:c>
      <x:c r="D13" s="18" t="n">
        <x:v>0.3068121693121692</x:v>
      </x:c>
      <x:c r="E13" s="18" t="n">
        <x:v>0.3666566935416142</x:v>
      </x:c>
      <x:c r="F13" s="18" t="n">
        <x:v>0.3176587301587301</x:v>
      </x:c>
      <x:c r="G13" s="18" t="n">
        <x:v>0.3831349206349206</x:v>
      </x:c>
      <x:c r="H13" s="18" t="n">
        <x:v>0.295568783068783</x:v>
      </x:c>
    </x:row>
    <x:row r="16">
      <x:c r="A16" s="5" t="str">
        <x:v>Latest Evidence Weights (Economic Prior + OOS Reliability Adjustment)</x:v>
      </x:c>
      <x:c r="B16" s="5"/>
      <x:c r="C16" s="5"/>
      <x:c r="D16" s="5"/>
      <x:c r="E16" s="5"/>
      <x:c r="F16" s="5"/>
      <x:c r="G16" s="5"/>
      <x:c r="H16" s="5"/>
    </x:row>
    <x:row r="17">
      <x:c r="A17" s="23" t="str">
        <x:v>Persistence</x:v>
      </x:c>
      <x:c r="B17" s="10" t="n">
        <x:v>0.22542100415921623</x:v>
      </x:c>
    </x:row>
    <x:row r="18">
      <x:c r="A18" s="23" t="str">
        <x:v>Correction</x:v>
      </x:c>
      <x:c r="B18" s="10" t="n">
        <x:v>0.1139967061940521</x:v>
      </x:c>
    </x:row>
    <x:row r="19">
      <x:c r="A19" s="23" t="str">
        <x:v>Volatility Support</x:v>
      </x:c>
      <x:c r="B19" s="10" t="n">
        <x:v>0.14437574846215379</x:v>
      </x:c>
    </x:row>
    <x:row r="20">
      <x:c r="A20" s="23" t="str">
        <x:v>Flow</x:v>
      </x:c>
      <x:c r="B20" s="10" t="n">
        <x:v>0.15033271315337532</x:v>
      </x:c>
    </x:row>
    <x:row r="21">
      <x:c r="A21" s="23" t="str">
        <x:v>Relative Strength</x:v>
      </x:c>
      <x:c r="B21" s="10" t="n">
        <x:v>0.186447691328166</x:v>
      </x:c>
    </x:row>
    <x:row r="22">
      <x:c r="A22" s="23" t="str">
        <x:v>Intermarket</x:v>
      </x:c>
      <x:c r="B22" s="10" t="n">
        <x:v>0.11300950121165183</x:v>
      </x:c>
    </x:row>
    <x:row r="23">
      <x:c r="A23" s="23" t="str">
        <x:v>Macro Market</x:v>
      </x:c>
      <x:c r="B23" s="10" t="n">
        <x:v>0.06641663549138457</x:v>
      </x:c>
    </x:row>
  </x:sheetData>
  <x:mergeCells>
    <x:mergeCell ref="A16:H16"/>
  </x:mergeCells>
  <x:conditionalFormatting sqref="B2:H1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5" t="str">
        <x:v>Period</x:v>
      </x:c>
      <x:c r="B1" s="5" t="str">
        <x:v>Attention Share</x:v>
      </x:c>
      <x:c r="C1" s="5" t="str">
        <x:v>Occlusion Impact</x:v>
      </x:c>
    </x:row>
    <x:row r="2">
      <x:c r="A2" t="str">
        <x:v>1-5日</x:v>
      </x:c>
      <x:c r="B2" s="10" t="n">
        <x:v>0.04642200842499733</x:v>
      </x:c>
      <x:c r="C2" s="16" t="n">
        <x:v>0.16648024320602417</x:v>
      </x:c>
    </x:row>
    <x:row r="3">
      <x:c r="A3" t="str">
        <x:v>6-20日</x:v>
      </x:c>
      <x:c r="B3" s="10" t="n">
        <x:v>0.12316078692674637</x:v>
      </x:c>
      <x:c r="C3" s="16" t="n">
        <x:v>0.2494034618139267</x:v>
      </x:c>
    </x:row>
    <x:row r="4">
      <x:c r="A4" t="str">
        <x:v>21-60日</x:v>
      </x:c>
      <x:c r="B4" s="10" t="n">
        <x:v>0.338211502879858</x:v>
      </x:c>
      <x:c r="C4" s="16" t="n">
        <x:v>0.1298249214887619</x:v>
      </x:c>
    </x:row>
    <x:row r="5">
      <x:c r="A5" t="str">
        <x:v>61-120日</x:v>
      </x:c>
      <x:c r="B5" s="10" t="n">
        <x:v>0.4922057706862688</x:v>
      </x:c>
      <x:c r="C5" s="16" t="n">
        <x:v>0.06765705347061157</x:v>
      </x:c>
    </x:row>
    <x:row r="8">
      <x:c r="A8" s="5" t="str">
        <x:v>Patch</x:v>
      </x:c>
      <x:c r="B8" s="5" t="str">
        <x:v>Lag Start</x:v>
      </x:c>
      <x:c r="C8" s="5" t="str">
        <x:v>Lag End</x:v>
      </x:c>
      <x:c r="D8" s="5" t="str">
        <x:v>Attention</x:v>
      </x:c>
    </x:row>
    <x:row r="9">
      <x:c r="A9" t="n">
        <x:v>1</x:v>
      </x:c>
      <x:c r="B9" t="n">
        <x:v>116</x:v>
      </x:c>
      <x:c r="C9" t="n">
        <x:v>120</x:v>
      </x:c>
      <x:c r="D9" s="10" t="n">
        <x:v>0.028811240568757057</x:v>
      </x:c>
    </x:row>
    <x:row r="10">
      <x:c r="A10" t="n">
        <x:v>2</x:v>
      </x:c>
      <x:c r="B10" t="n">
        <x:v>111</x:v>
      </x:c>
      <x:c r="C10" t="n">
        <x:v>115</x:v>
      </x:c>
      <x:c r="D10" s="10" t="n">
        <x:v>0.032365620136260986</x:v>
      </x:c>
    </x:row>
    <x:row r="11">
      <x:c r="A11" t="n">
        <x:v>3</x:v>
      </x:c>
      <x:c r="B11" t="n">
        <x:v>106</x:v>
      </x:c>
      <x:c r="C11" t="n">
        <x:v>110</x:v>
      </x:c>
      <x:c r="D11" s="10" t="n">
        <x:v>0.03774242848157883</x:v>
      </x:c>
    </x:row>
    <x:row r="12">
      <x:c r="A12" t="n">
        <x:v>4</x:v>
      </x:c>
      <x:c r="B12" t="n">
        <x:v>101</x:v>
      </x:c>
      <x:c r="C12" t="n">
        <x:v>105</x:v>
      </x:c>
      <x:c r="D12" s="10" t="n">
        <x:v>0.05501972883939743</x:v>
      </x:c>
    </x:row>
    <x:row r="13">
      <x:c r="A13" t="n">
        <x:v>5</x:v>
      </x:c>
      <x:c r="B13" t="n">
        <x:v>96</x:v>
      </x:c>
      <x:c r="C13" t="n">
        <x:v>100</x:v>
      </x:c>
      <x:c r="D13" s="10" t="n">
        <x:v>0.031027117744088173</x:v>
      </x:c>
    </x:row>
    <x:row r="14">
      <x:c r="A14" t="n">
        <x:v>6</x:v>
      </x:c>
      <x:c r="B14" t="n">
        <x:v>91</x:v>
      </x:c>
      <x:c r="C14" t="n">
        <x:v>95</x:v>
      </x:c>
      <x:c r="D14" s="10" t="n">
        <x:v>0.05465298891067505</x:v>
      </x:c>
    </x:row>
    <x:row r="15">
      <x:c r="A15" t="n">
        <x:v>7</x:v>
      </x:c>
      <x:c r="B15" t="n">
        <x:v>86</x:v>
      </x:c>
      <x:c r="C15" t="n">
        <x:v>90</x:v>
      </x:c>
      <x:c r="D15" s="10" t="n">
        <x:v>0.03879312425851822</x:v>
      </x:c>
    </x:row>
    <x:row r="16">
      <x:c r="A16" t="n">
        <x:v>8</x:v>
      </x:c>
      <x:c r="B16" t="n">
        <x:v>81</x:v>
      </x:c>
      <x:c r="C16" t="n">
        <x:v>85</x:v>
      </x:c>
      <x:c r="D16" s="10" t="n">
        <x:v>0.061538614332675934</x:v>
      </x:c>
    </x:row>
    <x:row r="17">
      <x:c r="A17" t="n">
        <x:v>9</x:v>
      </x:c>
      <x:c r="B17" t="n">
        <x:v>76</x:v>
      </x:c>
      <x:c r="C17" t="n">
        <x:v>80</x:v>
      </x:c>
      <x:c r="D17" s="10" t="n">
        <x:v>0.039792969822883606</x:v>
      </x:c>
    </x:row>
    <x:row r="18">
      <x:c r="A18" t="n">
        <x:v>10</x:v>
      </x:c>
      <x:c r="B18" t="n">
        <x:v>71</x:v>
      </x:c>
      <x:c r="C18" t="n">
        <x:v>75</x:v>
      </x:c>
      <x:c r="D18" s="10" t="n">
        <x:v>0.04131172224879265</x:v>
      </x:c>
    </x:row>
    <x:row r="19">
      <x:c r="A19" t="n">
        <x:v>11</x:v>
      </x:c>
      <x:c r="B19" t="n">
        <x:v>66</x:v>
      </x:c>
      <x:c r="C19" t="n">
        <x:v>70</x:v>
      </x:c>
      <x:c r="D19" s="10" t="n">
        <x:v>0.02992873825132847</x:v>
      </x:c>
    </x:row>
    <x:row r="20">
      <x:c r="A20" t="n">
        <x:v>12</x:v>
      </x:c>
      <x:c r="B20" t="n">
        <x:v>61</x:v>
      </x:c>
      <x:c r="C20" t="n">
        <x:v>65</x:v>
      </x:c>
      <x:c r="D20" s="10" t="n">
        <x:v>0.04122147709131241</x:v>
      </x:c>
    </x:row>
    <x:row r="21">
      <x:c r="A21" t="n">
        <x:v>13</x:v>
      </x:c>
      <x:c r="B21" t="n">
        <x:v>56</x:v>
      </x:c>
      <x:c r="C21" t="n">
        <x:v>60</x:v>
      </x:c>
      <x:c r="D21" s="10" t="n">
        <x:v>0.04867701604962349</x:v>
      </x:c>
    </x:row>
    <x:row r="22">
      <x:c r="A22" t="n">
        <x:v>14</x:v>
      </x:c>
      <x:c r="B22" t="n">
        <x:v>51</x:v>
      </x:c>
      <x:c r="C22" t="n">
        <x:v>55</x:v>
      </x:c>
      <x:c r="D22" s="10" t="n">
        <x:v>0.033472731709480286</x:v>
      </x:c>
    </x:row>
    <x:row r="23">
      <x:c r="A23" t="n">
        <x:v>15</x:v>
      </x:c>
      <x:c r="B23" t="n">
        <x:v>46</x:v>
      </x:c>
      <x:c r="C23" t="n">
        <x:v>50</x:v>
      </x:c>
      <x:c r="D23" s="10" t="n">
        <x:v>0.04467238858342171</x:v>
      </x:c>
    </x:row>
    <x:row r="24">
      <x:c r="A24" t="n">
        <x:v>16</x:v>
      </x:c>
      <x:c r="B24" t="n">
        <x:v>41</x:v>
      </x:c>
      <x:c r="C24" t="n">
        <x:v>45</x:v>
      </x:c>
      <x:c r="D24" s="10" t="n">
        <x:v>0.03762267902493477</x:v>
      </x:c>
    </x:row>
    <x:row r="25">
      <x:c r="A25" t="n">
        <x:v>17</x:v>
      </x:c>
      <x:c r="B25" t="n">
        <x:v>36</x:v>
      </x:c>
      <x:c r="C25" t="n">
        <x:v>40</x:v>
      </x:c>
      <x:c r="D25" s="10" t="n">
        <x:v>0.036811571568250656</x:v>
      </x:c>
    </x:row>
    <x:row r="26">
      <x:c r="A26" t="n">
        <x:v>18</x:v>
      </x:c>
      <x:c r="B26" t="n">
        <x:v>31</x:v>
      </x:c>
      <x:c r="C26" t="n">
        <x:v>35</x:v>
      </x:c>
      <x:c r="D26" s="10" t="n">
        <x:v>0.05436002090573311</x:v>
      </x:c>
    </x:row>
    <x:row r="27">
      <x:c r="A27" t="n">
        <x:v>19</x:v>
      </x:c>
      <x:c r="B27" t="n">
        <x:v>26</x:v>
      </x:c>
      <x:c r="C27" t="n">
        <x:v>30</x:v>
      </x:c>
      <x:c r="D27" s="10" t="n">
        <x:v>0.0488138310611248</x:v>
      </x:c>
    </x:row>
    <x:row r="28">
      <x:c r="A28" t="n">
        <x:v>20</x:v>
      </x:c>
      <x:c r="B28" t="n">
        <x:v>21</x:v>
      </x:c>
      <x:c r="C28" t="n">
        <x:v>25</x:v>
      </x:c>
      <x:c r="D28" s="10" t="n">
        <x:v>0.0337812639772892</x:v>
      </x:c>
    </x:row>
    <x:row r="29">
      <x:c r="A29" t="n">
        <x:v>21</x:v>
      </x:c>
      <x:c r="B29" t="n">
        <x:v>16</x:v>
      </x:c>
      <x:c r="C29" t="n">
        <x:v>20</x:v>
      </x:c>
      <x:c r="D29" s="10" t="n">
        <x:v>0.03296680003404617</x:v>
      </x:c>
    </x:row>
    <x:row r="30">
      <x:c r="A30" t="n">
        <x:v>22</x:v>
      </x:c>
      <x:c r="B30" t="n">
        <x:v>11</x:v>
      </x:c>
      <x:c r="C30" t="n">
        <x:v>15</x:v>
      </x:c>
      <x:c r="D30" s="10" t="n">
        <x:v>0.05593864619731903</x:v>
      </x:c>
    </x:row>
    <x:row r="31">
      <x:c r="A31" t="n">
        <x:v>23</x:v>
      </x:c>
      <x:c r="B31" t="n">
        <x:v>6</x:v>
      </x:c>
      <x:c r="C31" t="n">
        <x:v>10</x:v>
      </x:c>
      <x:c r="D31" s="10" t="n">
        <x:v>0.034255340695381165</x:v>
      </x:c>
    </x:row>
    <x:row r="32">
      <x:c r="A32" t="n">
        <x:v>24</x:v>
      </x:c>
      <x:c r="B32" t="n">
        <x:v>1</x:v>
      </x:c>
      <x:c r="C32" t="n">
        <x:v>5</x:v>
      </x:c>
      <x:c r="D32" s="10" t="n">
        <x:v>0.04642200842499733</x:v>
      </x:c>
    </x:row>
  </x:sheetData>
  <x:pageMargins left="0.7" right="0.7" top="0.75" bottom="0.75" header="0.3" footer="0.3"/>
  <x:drawing xmlns:r="http://schemas.openxmlformats.org/officeDocument/2006/relationships" r:id="R213491430e474b07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5" t="str">
        <x:v>Date</x:v>
      </x:c>
      <x:c r="B1" s="5" t="str">
        <x:v>Dynamic Net</x:v>
      </x:c>
      <x:c r="C1" s="5" t="str">
        <x:v>Static Net</x:v>
      </x:c>
      <x:c r="D1" s="5" t="str">
        <x:v>Benchmark</x:v>
      </x:c>
      <x:c r="E1" s="5" t="str">
        <x:v>Dynamic Cum.</x:v>
      </x:c>
      <x:c r="F1" s="5" t="str">
        <x:v>Static Cum.</x:v>
      </x:c>
      <x:c r="G1" s="5" t="str">
        <x:v>Benchmark Cum.</x:v>
      </x:c>
      <x:c r="H1" s="5" t="str">
        <x:v>Dynamic DD</x:v>
      </x:c>
      <x:c r="I1" s="5" t="str">
        <x:v>Static DD</x:v>
      </x:c>
      <x:c r="J1" s="5" t="str">
        <x:v>Dynamic Turnover</x:v>
      </x:c>
      <x:c r="K1" s="5" t="str">
        <x:v>Static Turnover</x:v>
      </x:c>
    </x:row>
    <x:row r="2">
      <x:c r="A2" s="14" t="n">
        <x:v>45322</x:v>
      </x:c>
      <x:c r="B2" s="10" t="n">
        <x:v>0.016070863107184585</x:v>
      </x:c>
      <x:c r="C2" s="10" t="n">
        <x:v>0.016070863707378355</x:v>
      </x:c>
      <x:c r="D2" s="10" t="n">
        <x:v>0.01734273395767236</x:v>
      </x:c>
      <x:c r="E2" s="28" t="n">
        <x:v>1.0160708631071846</x:v>
      </x:c>
      <x:c r="F2" s="28" t="n">
        <x:v>1.0160708637073783</x:v>
      </x:c>
      <x:c r="G2" s="28" t="n">
        <x:v>1.0173427339576724</x:v>
      </x:c>
      <x:c r="H2" s="10" t="n">
        <x:v>0</x:v>
      </x:c>
      <x:c r="I2" s="10" t="n">
        <x:v>0</x:v>
      </x:c>
      <x:c r="J2" s="10" t="n">
        <x:v>0.5</x:v>
      </x:c>
      <x:c r="K2" s="10" t="n">
        <x:v>0.5</x:v>
      </x:c>
    </x:row>
    <x:row r="3">
      <x:c r="A3" s="14" t="n">
        <x:v>45351</x:v>
      </x:c>
      <x:c r="B3" s="10" t="n">
        <x:v>0.0077555015256013686</x:v>
      </x:c>
      <x:c r="C3" s="10" t="n">
        <x:v>0.007755501479910624</x:v>
      </x:c>
      <x:c r="D3" s="10" t="n">
        <x:v>-0.06407475766493764</x:v>
      </x:c>
      <x:c r="E3" s="28" t="n">
        <x:v>1.0239510022361316</x:v>
      </x:c>
      <x:c r="F3" s="28" t="n">
        <x:v>1.023951002794555</x:v>
      </x:c>
      <x:c r="G3" s="28" t="n">
        <x:v>0.9521567448171494</x:v>
      </x:c>
      <x:c r="H3" s="10" t="n">
        <x:v>0</x:v>
      </x:c>
      <x:c r="I3" s="10" t="n">
        <x:v>0</x:v>
      </x:c>
      <x:c r="J3" s="10" t="n">
        <x:v>0.48559016481908734</x:v>
      </x:c>
      <x:c r="K3" s="10" t="n">
        <x:v>0.4855901568574074</x:v>
      </x:c>
    </x:row>
    <x:row r="4">
      <x:c r="A4" s="14" t="n">
        <x:v>45380</x:v>
      </x:c>
      <x:c r="B4" s="10" t="n">
        <x:v>0.008174097016396565</x:v>
      </x:c>
      <x:c r="C4" s="10" t="n">
        <x:v>0.008174097079852635</x:v>
      </x:c>
      <x:c r="D4" s="10" t="n">
        <x:v>0.06035717578547926</x:v>
      </x:c>
      <x:c r="E4" s="28" t="n">
        <x:v>1.0323208770684462</x:v>
      </x:c>
      <x:c r="F4" s="28" t="n">
        <x:v>1.0323208776964103</x:v>
      </x:c>
      <x:c r="G4" s="28" t="n">
        <x:v>1.0096262368394078</x:v>
      </x:c>
      <x:c r="H4" s="10" t="n">
        <x:v>0</x:v>
      </x:c>
      <x:c r="I4" s="10" t="n">
        <x:v>0</x:v>
      </x:c>
      <x:c r="J4" s="10" t="n">
        <x:v>0.55597304109159</x:v>
      </x:c>
      <x:c r="K4" s="10" t="n">
        <x:v>0.5559730382083831</x:v>
      </x:c>
    </x:row>
    <x:row r="5">
      <x:c r="A5" s="14" t="n">
        <x:v>45412</x:v>
      </x:c>
      <x:c r="B5" s="10" t="n">
        <x:v>-0.01659663676946118</x:v>
      </x:c>
      <x:c r="C5" s="10" t="n">
        <x:v>-0.016596636645607427</x:v>
      </x:c>
      <x:c r="D5" s="10" t="n">
        <x:v>0.12568007068468443</x:v>
      </x:c>
      <x:c r="E5" s="28" t="n">
        <x:v>1.0151878224422095</x:v>
      </x:c>
      <x:c r="F5" s="28" t="n">
        <x:v>1.0151878231876086</x:v>
      </x:c>
      <x:c r="G5" s="28" t="n">
        <x:v>1.1365161336504963</x:v>
      </x:c>
      <x:c r="H5" s="10" t="n">
        <x:v>-0.016596636769461326</x:v>
      </x:c>
      <x:c r="I5" s="10" t="n">
        <x:v>-0.016596636645607288</x:v>
      </x:c>
      <x:c r="J5" s="10" t="n">
        <x:v>0.7366002204455219</x:v>
      </x:c>
      <x:c r="K5" s="10" t="n">
        <x:v>0.7366002133090557</x:v>
      </x:c>
    </x:row>
    <x:row r="6">
      <x:c r="A6" s="14" t="n">
        <x:v>45443</x:v>
      </x:c>
      <x:c r="B6" s="10" t="n">
        <x:v>0.0026346715112635795</x:v>
      </x:c>
      <x:c r="C6" s="10" t="n">
        <x:v>0.009519942645849678</x:v>
      </x:c>
      <x:c r="D6" s="10" t="n">
        <x:v>0.02918926042870651</x:v>
      </x:c>
      <x:c r="E6" s="28" t="n">
        <x:v>1.0178625088765796</x:v>
      </x:c>
      <x:c r="F6" s="28" t="n">
        <x:v>1.0248523530391196</x:v>
      </x:c>
      <x:c r="G6" s="28" t="n">
        <x:v>1.1696901990570472</x:v>
      </x:c>
      <x:c r="H6" s="10" t="n">
        <x:v>-0.014005691944277143</x:v>
      </x:c>
      <x:c r="I6" s="10" t="n">
        <x:v>-0.007234693028737804</x:v>
      </x:c>
      <x:c r="J6" s="10" t="n">
        <x:v>0.49883930288974815</x:v>
      </x:c>
      <x:c r="K6" s="10" t="n">
        <x:v>0.5734786522789264</x:v>
      </x:c>
    </x:row>
    <x:row r="7">
      <x:c r="A7" s="14" t="n">
        <x:v>45471</x:v>
      </x:c>
      <x:c r="B7" s="10" t="n">
        <x:v>0.0007470762655021597</x:v>
      </x:c>
      <x:c r="C7" s="10" t="n">
        <x:v>0.00026028043160859825</x:v>
      </x:c>
      <x:c r="D7" s="10" t="n">
        <x:v>-0.022796017626623682</x:v>
      </x:c>
      <x:c r="E7" s="28" t="n">
        <x:v>1.0186229297985059</x:v>
      </x:c>
      <x:c r="F7" s="28" t="n">
        <x:v>1.0251191020519037</x:v>
      </x:c>
      <x:c r="G7" s="28" t="n">
        <x:v>1.1430259206616538</x:v>
      </x:c>
      <x:c r="H7" s="10" t="n">
        <x:v>-0.013269078998808359</x:v>
      </x:c>
      <x:c r="I7" s="10" t="n">
        <x:v>-0.006976295646153319</x:v>
      </x:c>
      <x:c r="J7" s="10" t="n">
        <x:v>0.561289385043865</x:v>
      </x:c>
      <x:c r="K7" s="10" t="n">
        <x:v>0.6756304583684574</x:v>
      </x:c>
    </x:row>
    <x:row r="8">
      <x:c r="A8" s="14" t="n">
        <x:v>45504</x:v>
      </x:c>
      <x:c r="B8" s="10" t="n">
        <x:v>0.000031760615038939246</x:v>
      </x:c>
      <x:c r="C8" s="10" t="n">
        <x:v>0.00007065798502674093</x:v>
      </x:c>
      <x:c r="D8" s="10" t="n">
        <x:v>0.023951835358839407</x:v>
      </x:c>
      <x:c r="E8" s="28" t="n">
        <x:v>1.018655281889249</x:v>
      </x:c>
      <x:c r="F8" s="28" t="n">
        <x:v>1.025191534902067</x:v>
      </x:c>
      <x:c r="G8" s="28" t="n">
        <x:v>1.1704034893242277</x:v>
      </x:c>
      <x:c r="H8" s="10" t="n">
        <x:v>-0.013237739817879568</x:v>
      </x:c>
      <x:c r="I8" s="10" t="n">
        <x:v>-0.0069061305921199745</x:v>
      </x:c>
      <x:c r="J8" s="10" t="n">
        <x:v>0.568436763717177</x:v>
      </x:c>
      <x:c r="K8" s="10" t="n">
        <x:v>0.5775257970397606</x:v>
      </x:c>
    </x:row>
    <x:row r="9">
      <x:c r="A9" s="14" t="n">
        <x:v>45534</x:v>
      </x:c>
      <x:c r="B9" s="10" t="n">
        <x:v>-0.01353850394354904</x:v>
      </x:c>
      <x:c r="C9" s="10" t="n">
        <x:v>-0.013764144363152084</x:v>
      </x:c>
      <x:c r="D9" s="10" t="n">
        <x:v>-0.02632663925196174</x:v>
      </x:c>
      <x:c r="E9" s="28" t="n">
        <x:v>1.0048642133382744</x:v>
      </x:c>
      <x:c r="F9" s="28" t="n">
        <x:v>1.0110806506157934</x:v>
      </x:c>
      <x:c r="G9" s="28" t="n">
        <x:v>1.1395906988815514</x:v>
      </x:c>
      <x:c r="H9" s="10" t="n">
        <x:v>-0.0265970245687005</x:v>
      </x:c>
      <x:c r="I9" s="10" t="n">
        <x:v>-0.02057521797681139</x:v>
      </x:c>
      <x:c r="J9" s="10" t="n">
        <x:v>0.6350632170344909</x:v>
      </x:c>
      <x:c r="K9" s="10" t="n">
        <x:v>0.646008998407569</x:v>
      </x:c>
    </x:row>
    <x:row r="10">
      <x:c r="A10" s="14" t="n">
        <x:v>45565</x:v>
      </x:c>
      <x:c r="B10" s="10" t="n">
        <x:v>0.0034468287015258937</x:v>
      </x:c>
      <x:c r="C10" s="10" t="n">
        <x:v>0.003296842261341278</x:v>
      </x:c>
      <x:c r="D10" s="10" t="n">
        <x:v>-0.053585155179518375</x:v>
      </x:c>
      <x:c r="E10" s="28" t="n">
        <x:v>1.008327808149945</x:v>
      </x:c>
      <x:c r="F10" s="28" t="n">
        <x:v>1.014414024034368</x:v>
      </x:c>
      <x:c r="G10" s="28" t="n">
        <x:v>1.0785255544408476</x:v>
      </x:c>
      <x:c r="H10" s="10" t="n">
        <x:v>-0.023241871254833124</x:v>
      </x:c>
      <x:c r="I10" s="10" t="n">
        <x:v>-0.01734620896363237</x:v>
      </x:c>
      <x:c r="J10" s="10" t="n">
        <x:v>0.6897910420063944</x:v>
      </x:c>
      <x:c r="K10" s="10" t="n">
        <x:v>0.7085529976263759</x:v>
      </x:c>
    </x:row>
    <x:row r="11">
      <x:c r="A11" s="14" t="n">
        <x:v>45596</x:v>
      </x:c>
      <x:c r="B11" s="10" t="n">
        <x:v>-0.027201974329165834</x:v>
      </x:c>
      <x:c r="C11" s="10" t="n">
        <x:v>-0.027170029455290533</x:v>
      </x:c>
      <x:c r="D11" s="10" t="n">
        <x:v>-0.08161180680776943</x:v>
      </x:c>
      <x:c r="E11" s="28" t="n">
        <x:v>0.9808993009972661</x:v>
      </x:c>
      <x:c r="F11" s="28" t="n">
        <x:v>0.9868523651214943</x:v>
      </x:c>
      <x:c r="G11" s="28" t="n">
        <x:v>0.9905051352545787</x:v>
      </x:c>
      <x:c r="H11" s="10" t="n">
        <x:v>-0.04981162079876322</x:v>
      </x:c>
      <x:c r="I11" s="10" t="n">
        <x:v>-0.04404494141044346</x:v>
      </x:c>
      <x:c r="J11" s="10" t="n">
        <x:v>0.3554137978837321</x:v>
      </x:c>
      <x:c r="K11" s="10" t="n">
        <x:v>0.35863389396611023</x:v>
      </x:c>
    </x:row>
    <x:row r="12">
      <x:c r="A12" s="14" t="n">
        <x:v>45625</x:v>
      </x:c>
      <x:c r="B12" s="10" t="n">
        <x:v>-0.0060482582985116815</x:v>
      </x:c>
      <x:c r="C12" s="10" t="n">
        <x:v>-0.005575663628312009</x:v>
      </x:c>
      <x:c r="D12" s="10" t="n">
        <x:v>0.027412819029250756</x:v>
      </x:c>
      <x:c r="E12" s="28" t="n">
        <x:v>0.9749665686600051</x:v>
      </x:c>
      <x:c r="F12" s="28" t="n">
        <x:v>0.9813500082827727</x:v>
      </x:c>
      <x:c r="G12" s="28" t="n">
        <x:v>1.0176576732748561</x:v>
      </x:c>
      <x:c r="H12" s="10" t="n">
        <x:v>-0.05555860554841652</x:v>
      </x:c>
      <x:c r="I12" s="10" t="n">
        <x:v>-0.04937502526092219</x:v>
      </x:c>
      <x:c r="J12" s="10" t="n">
        <x:v>0.5130491835362089</x:v>
      </x:c>
      <x:c r="K12" s="10" t="n">
        <x:v>0.5166817317709176</x:v>
      </x:c>
    </x:row>
    <x:row r="13">
      <x:c r="A13" s="14" t="n">
        <x:v>45657</x:v>
      </x:c>
      <x:c r="B13" s="10" t="n">
        <x:v>-0.00486256870728207</x:v>
      </x:c>
      <x:c r="C13" s="10" t="n">
        <x:v>-0.005406702903881062</x:v>
      </x:c>
      <x:c r="D13" s="10" t="n">
        <x:v>0.008922554012711484</x:v>
      </x:c>
      <x:c r="E13" s="28" t="n">
        <x:v>0.9702257267325928</x:v>
      </x:c>
      <x:c r="F13" s="28" t="n">
        <x:v>0.9760441403432666</x:v>
      </x:c>
      <x:c r="G13" s="28" t="n">
        <x:v>1.0267377788311014</x:v>
      </x:c>
      <x:c r="H13" s="10" t="n">
        <x:v>-0.06015101671893863</x:v>
      </x:c>
      <x:c r="I13" s="10" t="n">
        <x:v>-0.054514772072345785</x:v>
      </x:c>
      <x:c r="J13" s="10" t="n">
        <x:v>0.8305104755789021</x:v>
      </x:c>
      <x:c r="K13" s="10" t="n">
        <x:v>0.8262642264936876</x:v>
      </x:c>
    </x:row>
    <x:row r="14">
      <x:c r="A14" s="14" t="n">
        <x:v>45688</x:v>
      </x:c>
      <x:c r="B14" s="10" t="n">
        <x:v>-0.006697857441241873</x:v>
      </x:c>
      <x:c r="C14" s="10" t="n">
        <x:v>-0.006939571027387198</x:v>
      </x:c>
      <x:c r="D14" s="10" t="n">
        <x:v>-0.016346836560300268</x:v>
      </x:c>
      <x:c r="E14" s="28" t="n">
        <x:v>0.9637272931291126</x:v>
      </x:c>
      <x:c r="F14" s="28" t="n">
        <x:v>0.9692708127054894</x:v>
      </x:c>
      <x:c r="G14" s="28" t="n">
        <x:v>1.0099538641702637</x:v>
      </x:c>
      <x:c r="H14" s="10" t="n">
        <x:v>-0.06644599122525119</x:v>
      </x:c>
      <x:c r="I14" s="10" t="n">
        <x:v>-0.061076033966895094</x:v>
      </x:c>
      <x:c r="J14" s="10" t="n">
        <x:v>0.7270645165836795</x:v>
      </x:c>
      <x:c r="K14" s="10" t="n">
        <x:v>0.7427502928404316</x:v>
      </x:c>
    </x:row>
    <x:row r="15">
      <x:c r="A15" s="14" t="n">
        <x:v>45716</x:v>
      </x:c>
      <x:c r="B15" s="10" t="n">
        <x:v>0.0021146215696045047</x:v>
      </x:c>
      <x:c r="C15" s="10" t="n">
        <x:v>0.0022852992866649654</x:v>
      </x:c>
      <x:c r="D15" s="10" t="n">
        <x:v>0.05988431885065792</x:v>
      </x:c>
      <x:c r="E15" s="28" t="n">
        <x:v>0.96576521165038</x:v>
      </x:c>
      <x:c r="F15" s="28" t="n">
        <x:v>0.9714858866023504</x:v>
      </x:c>
      <x:c r="G15" s="28" t="n">
        <x:v>1.07043426339669</x:v>
      </x:c>
      <x:c r="H15" s="10" t="n">
        <x:v>-0.06447187778190533</x:v>
      </x:c>
      <x:c r="I15" s="10" t="n">
        <x:v>-0.05893031169708707</x:v>
      </x:c>
      <x:c r="J15" s="10" t="n">
        <x:v>0.5987828569228332</x:v>
      </x:c>
      <x:c r="K15" s="10" t="n">
        <x:v>0.6098274960545247</x:v>
      </x:c>
    </x:row>
    <x:row r="16">
      <x:c r="A16" s="14" t="n">
        <x:v>45747</x:v>
      </x:c>
      <x:c r="B16" s="10" t="n">
        <x:v>-0.020213022835613173</x:v>
      </x:c>
      <x:c r="C16" s="10" t="n">
        <x:v>-0.01921883894314928</x:v>
      </x:c>
      <x:c r="D16" s="10" t="n">
        <x:v>-0.033255731065148765</x:v>
      </x:c>
      <x:c r="E16" s="28" t="n">
        <x:v>0.94624417737345</x:v>
      </x:c>
      <x:c r="F16" s="28" t="n">
        <x:v>0.9528150558121973</x:v>
      </x:c>
      <x:c r="G16" s="28" t="n">
        <x:v>1.034836189410249</x:v>
      </x:c>
      <x:c r="H16" s="10" t="n">
        <x:v>-0.08338172907965813</x:v>
      </x:c>
      <x:c r="I16" s="10" t="n">
        <x:v>-0.07701657847086041</x:v>
      </x:c>
      <x:c r="J16" s="10" t="n">
        <x:v>0.503615240464454</x:v>
      </x:c>
      <x:c r="K16" s="10" t="n">
        <x:v>0.504526032243227</x:v>
      </x:c>
    </x:row>
    <x:row r="17">
      <x:c r="A17" s="14" t="n">
        <x:v>45777</x:v>
      </x:c>
      <x:c r="B17" s="10" t="n">
        <x:v>0.0022759310417374834</x:v>
      </x:c>
      <x:c r="C17" s="10" t="n">
        <x:v>0.002429457401566718</x:v>
      </x:c>
      <x:c r="D17" s="10" t="n">
        <x:v>0.017150122639999682</x:v>
      </x:c>
      <x:c r="E17" s="28" t="n">
        <x:v>0.9483977638697976</x:v>
      </x:c>
      <x:c r="F17" s="28" t="n">
        <x:v>0.9551298794018643</x:v>
      </x:c>
      <x:c r="G17" s="28" t="n">
        <x:v>1.0525837569709446</x:v>
      </x:c>
      <x:c r="H17" s="10" t="n">
        <x:v>-0.08129556910344682</x:v>
      </x:c>
      <x:c r="I17" s="10" t="n">
        <x:v>-0.07477422956590318</x:v>
      </x:c>
      <x:c r="J17" s="10" t="n">
        <x:v>0.7196873289520237</x:v>
      </x:c>
      <x:c r="K17" s="10" t="n">
        <x:v>0.7235590445924844</x:v>
      </x:c>
    </x:row>
    <x:row r="18">
      <x:c r="A18" s="14" t="n">
        <x:v>45807</x:v>
      </x:c>
      <x:c r="B18" s="10" t="n">
        <x:v>-0.02131161868975306</x:v>
      </x:c>
      <x:c r="C18" s="10" t="n">
        <x:v>-0.02110548333066151</x:v>
      </x:c>
      <x:c r="D18" s="10" t="n">
        <x:v>-0.029630309732565654</x:v>
      </x:c>
      <x:c r="E18" s="28" t="n">
        <x:v>0.92818587235999</x:v>
      </x:c>
      <x:c r="F18" s="28" t="n">
        <x:v>0.9349714016535315</x:v>
      </x:c>
      <x:c r="G18" s="28" t="n">
        <x:v>1.021395374232428</x:v>
      </x:c>
      <x:c r="H18" s="10" t="n">
        <x:v>-0.10087464762330078</x:v>
      </x:c>
      <x:c r="I18" s="10" t="n">
        <x:v>-0.0943015666408984</x:v>
      </x:c>
      <x:c r="J18" s="10" t="n">
        <x:v>0.7739247213174489</x:v>
      </x:c>
      <x:c r="K18" s="10" t="n">
        <x:v>0.7823196330148788</x:v>
      </x:c>
    </x:row>
    <x:row r="19">
      <x:c r="A19" s="14" t="n">
        <x:v>45838</x:v>
      </x:c>
      <x:c r="B19" s="10" t="n">
        <x:v>-0.006489561913451633</x:v>
      </x:c>
      <x:c r="C19" s="10" t="n">
        <x:v>-0.00735322246135587</x:v>
      </x:c>
      <x:c r="D19" s="10" t="n">
        <x:v>-0.01831666929043222</x:v>
      </x:c>
      <x:c r="E19" s="28" t="n">
        <x:v>0.9221623526741187</x:v>
      </x:c>
      <x:c r="F19" s="28" t="n">
        <x:v>0.9280963489421674</x:v>
      </x:c>
      <x:c r="G19" s="28" t="n">
        <x:v>1.0026868129478355</x:v>
      </x:c>
      <x:c r="H19" s="10" t="n">
        <x:v>-0.10670957726550334</x:v>
      </x:c>
      <x:c r="I19" s="10" t="n">
        <x:v>-0.1009613687042894</x:v>
      </x:c>
      <x:c r="J19" s="10" t="n">
        <x:v>0.6423016731493355</x:v>
      </x:c>
      <x:c r="K19" s="10" t="n">
        <x:v>0.6475101372967182</x:v>
      </x:c>
    </x:row>
    <x:row r="20">
      <x:c r="A20" s="14" t="n">
        <x:v>45869</x:v>
      </x:c>
      <x:c r="B20" s="10" t="n">
        <x:v>-0.000964590513479538</x:v>
      </x:c>
      <x:c r="C20" s="10" t="n">
        <x:v>-0.00035844793626368476</x:v>
      </x:c>
      <x:c r="D20" s="10" t="n">
        <x:v>0.049451724793205525</x:v>
      </x:c>
      <x:c r="E20" s="28" t="n">
        <x:v>0.9212728436168414</x:v>
      </x:c>
      <x:c r="F20" s="28" t="n">
        <x:v>0.9277636747212352</x:v>
      </x:c>
      <x:c r="G20" s="28" t="n">
        <x:v>1.0522714052755082</x:v>
      </x:c>
      <x:c r="H20" s="10" t="n">
        <x:v>-0.10757123673305502</x:v>
      </x:c>
      <x:c r="I20" s="10" t="n">
        <x:v>-0.10128362724629869</x:v>
      </x:c>
      <x:c r="J20" s="10" t="n">
        <x:v>0.6281387511762256</x:v>
      </x:c>
      <x:c r="K20" s="10" t="n">
        <x:v>0.6322223627713022</x:v>
      </x:c>
    </x:row>
    <x:row r="21">
      <x:c r="A21" s="14" t="n">
        <x:v>45898</x:v>
      </x:c>
      <x:c r="B21" s="10" t="n">
        <x:v>-0.019596067728452328</x:v>
      </x:c>
      <x:c r="C21" s="10" t="n">
        <x:v>-0.01941424188201109</x:v>
      </x:c>
      <x:c r="D21" s="10" t="n">
        <x:v>0.03169286880979452</x:v>
      </x:c>
      <x:c r="E21" s="28" t="n">
        <x:v>0.9032195185769418</x:v>
      </x:c>
      <x:c r="F21" s="28" t="n">
        <x:v>0.9097518463308537</x:v>
      </x:c>
      <x:c r="G21" s="28" t="n">
        <x:v>1.085620904875203</x:v>
      </x:c>
      <x:c r="H21" s="10" t="n">
        <x:v>-0.1250593312208531</x:v>
      </x:c>
      <x:c r="I21" s="10" t="n">
        <x:v>-0.11873152429026268</x:v>
      </x:c>
      <x:c r="J21" s="10" t="n">
        <x:v>0.616773923370005</x:v>
      </x:c>
      <x:c r="K21" s="10" t="n">
        <x:v>0.6224459078170124</x:v>
      </x:c>
    </x:row>
    <x:row r="22">
      <x:c r="A22" s="14" t="n">
        <x:v>45930</x:v>
      </x:c>
      <x:c r="B22" s="10" t="n">
        <x:v>0.01439319211098972</x:v>
      </x:c>
      <x:c r="C22" s="10" t="n">
        <x:v>0.014710399800654275</x:v>
      </x:c>
      <x:c r="D22" s="10" t="n">
        <x:v>0.006706864511262814</x:v>
      </x:c>
      <x:c r="E22" s="28" t="n">
        <x:v>0.9162197306262153</x:v>
      </x:c>
      <x:c r="F22" s="28" t="n">
        <x:v>0.923134659709764</x:v>
      </x:c>
      <x:c r="G22" s="28" t="n">
        <x:v>1.0929020171947956</x:v>
      </x:c>
      <x:c r="H22" s="10" t="n">
        <x:v>-0.11246614208939709</x:v>
      </x:c>
      <x:c r="I22" s="10" t="n">
        <x:v>-0.10576771268085916</x:v>
      </x:c>
      <x:c r="J22" s="10" t="n">
        <x:v>0.6950212620238974</x:v>
      </x:c>
      <x:c r="K22" s="10" t="n">
        <x:v>0.6964013867256418</x:v>
      </x:c>
    </x:row>
    <x:row r="23">
      <x:c r="A23" s="14" t="n">
        <x:v>45961</x:v>
      </x:c>
      <x:c r="B23" s="10" t="n">
        <x:v>-0.0054997348579908225</x:v>
      </x:c>
      <x:c r="C23" s="10" t="n">
        <x:v>-0.005482225190139479</x:v>
      </x:c>
      <x:c r="D23" s="10" t="n">
        <x:v>0.02113480662443531</x:v>
      </x:c>
      <x:c r="E23" s="28" t="n">
        <x:v>0.9111807650361113</x:v>
      </x:c>
      <x:c r="F23" s="28" t="n">
        <x:v>0.9180738276244123</x:v>
      </x:c>
      <x:c r="G23" s="28" t="n">
        <x:v>1.1160002899876629</x:v>
      </x:c>
      <x:c r="H23" s="10" t="n">
        <x:v>-0.11734734298539518</x:v>
      </x:c>
      <x:c r="I23" s="10" t="n">
        <x:v>-0.11067009545223627</x:v>
      </x:c>
      <x:c r="J23" s="10" t="n">
        <x:v>0.45162826160382646</x:v>
      </x:c>
      <x:c r="K23" s="10" t="n">
        <x:v>0.44891131829532877</x:v>
      </x:c>
    </x:row>
    <x:row r="24">
      <x:c r="A24" s="14" t="n">
        <x:v>45989</x:v>
      </x:c>
      <x:c r="B24" s="10" t="n">
        <x:v>-0.01858448531060433</x:v>
      </x:c>
      <x:c r="C24" s="10" t="n">
        <x:v>-0.018452956099816984</x:v>
      </x:c>
      <x:c r="D24" s="10" t="n">
        <x:v>-0.0002186506237451168</x:v>
      </x:c>
      <x:c r="E24" s="28" t="n">
        <x:v>0.8942469394929925</x:v>
      </x:c>
      <x:c r="F24" s="28" t="n">
        <x:v>0.9011326515868681</x:v>
      </x:c>
      <x:c r="G24" s="28" t="n">
        <x:v>1.1157562758281574</x:v>
      </x:c>
      <x:c r="H24" s="10" t="n">
        <x:v>-0.13375098832404897</x:v>
      </x:c>
      <x:c r="I24" s="10" t="n">
        <x:v>-0.12708086113911055</x:v>
      </x:c>
      <x:c r="J24" s="10" t="n">
        <x:v>0.5543714116448809</x:v>
      </x:c>
      <x:c r="K24" s="10" t="n">
        <x:v>0.5499814654825079</x:v>
      </x:c>
    </x:row>
    <x:row r="25">
      <x:c r="A25" s="14" t="n">
        <x:v>46022</x:v>
      </x:c>
      <x:c r="B25" s="10" t="n">
        <x:v>-0.009434983600835193</x:v>
      </x:c>
      <x:c r="C25" s="10" t="n">
        <x:v>-0.009259970135606976</x:v>
      </x:c>
      <x:c r="D25" s="10" t="n">
        <x:v>0.0256159366901217</x:v>
      </x:c>
      <x:c r="E25" s="28" t="n">
        <x:v>0.8858097342837791</x:v>
      </x:c>
      <x:c r="F25" s="28" t="n">
        <x:v>0.8927881901449534</x:v>
      </x:c>
      <x:c r="G25" s="28" t="n">
        <x:v>1.1443374179513774</x:v>
      </x:c>
      <x:c r="H25" s="10" t="n">
        <x:v>-0.14192403354345118</x:v>
      </x:c>
      <x:c r="I25" s="10" t="n">
        <x:v>-0.13516406629576216</x:v>
      </x:c>
      <x:c r="J25" s="10" t="n">
        <x:v>0.6938518182557275</x:v>
      </x:c>
      <x:c r="K25" s="10" t="n">
        <x:v>0.6992017246809729</x:v>
      </x:c>
    </x:row>
    <x:row r="26">
      <x:c r="A26" s="14" t="n">
        <x:v>46052</x:v>
      </x:c>
      <x:c r="B26" s="10" t="n">
        <x:v>0.012572915299899705</x:v>
      </x:c>
      <x:c r="C26" s="10" t="n">
        <x:v>0.012477369073342933</x:v>
      </x:c>
      <x:c r="D26" s="10" t="n">
        <x:v>0.04655994837211685</x:v>
      </x:c>
      <x:c r="E26" s="28" t="n">
        <x:v>0.8969469450447557</x:v>
      </x:c>
      <x:c r="F26" s="28" t="n">
        <x:v>0.9039278378977137</x:v>
      </x:c>
      <x:c r="G26" s="28" t="n">
        <x:v>1.197617709051475</x:v>
      </x:c>
      <x:c r="H26" s="10" t="n">
        <x:v>-0.13113551709631344</x:v>
      </x:c>
      <x:c r="I26" s="10" t="n">
        <x:v>-0.1243731891630454</x:v>
      </x:c>
      <x:c r="J26" s="10" t="n">
        <x:v>0.694355100537383</x:v>
      </x:c>
      <x:c r="K26" s="10" t="n">
        <x:v>0.6948770325857918</x:v>
      </x:c>
    </x:row>
    <x:row r="27">
      <x:c r="A27" s="14" t="n">
        <x:v>46080</x:v>
      </x:c>
      <x:c r="B27" s="10" t="n">
        <x:v>-0.0023572967351010335</x:v>
      </x:c>
      <x:c r="C27" s="10" t="n">
        <x:v>-0.0023883119695510494</x:v>
      </x:c>
      <x:c r="D27" s="10" t="n">
        <x:v>0.054682377204339515</x:v>
      </x:c>
      <x:c r="E27" s="28" t="n">
        <x:v>0.8948325749396429</x:v>
      </x:c>
      <x:c r="F27" s="28" t="n">
        <x:v>0.9017689762228522</x:v>
      </x:c>
      <x:c r="G27" s="28" t="n">
        <x:v>1.2631062923644245</x:v>
      </x:c>
      <x:c r="H27" s="10" t="n">
        <x:v>-0.13318368850510753</x:v>
      </x:c>
      <x:c r="I27" s="10" t="n">
        <x:v>-0.12646445915622706</x:v>
      </x:c>
      <x:c r="J27" s="10" t="n">
        <x:v>0.5187488687692098</x:v>
      </x:c>
      <x:c r="K27" s="10" t="n">
        <x:v>0.5235072402697397</x:v>
      </x:c>
    </x:row>
    <x:row r="28">
      <x:c r="A28" s="14" t="n">
        <x:v>46112</x:v>
      </x:c>
      <x:c r="B28" s="10" t="n">
        <x:v>0.00007379416419677195</x:v>
      </x:c>
      <x:c r="C28" s="10" t="n">
        <x:v>-0.00005693185617072785</x:v>
      </x:c>
      <x:c r="D28" s="10" t="n">
        <x:v>0.008917522390856735</x:v>
      </x:c>
      <x:c r="E28" s="28" t="n">
        <x:v>0.8948986083616066</x:v>
      </x:c>
      <x:c r="F28" s="28" t="n">
        <x:v>0.9017176368411987</x:v>
      </x:c>
      <x:c r="G28" s="28" t="n">
        <x:v>1.274370071008616</x:v>
      </x:c>
      <x:c r="H28" s="10" t="n">
        <x:v>-0.13311972251988857</x:v>
      </x:c>
      <x:c r="I28" s="10" t="n">
        <x:v>-0.12651419115599838</x:v>
      </x:c>
      <x:c r="J28" s="10" t="n">
        <x:v>0.6209909945405993</x:v>
      </x:c>
      <x:c r="K28" s="10" t="n">
        <x:v>0.6232603356972565</x:v>
      </x:c>
    </x:row>
    <x:row r="29">
      <x:c r="A29" s="14" t="n">
        <x:v>46142</x:v>
      </x:c>
      <x:c r="B29" s="10" t="n">
        <x:v>0.004974682459968363</x:v>
      </x:c>
      <x:c r="C29" s="10" t="n">
        <x:v>0.004969596414614265</x:v>
      </x:c>
      <x:c r="D29" s="10" t="n">
        <x:v>-0.0075545575607277</x:v>
      </x:c>
      <x:c r="E29" s="28" t="n">
        <x:v>0.8993504447720732</x:v>
      </x:c>
      <x:c r="F29" s="28" t="n">
        <x:v>0.9061988095762392</x:v>
      </x:c>
      <x:c r="G29" s="28" t="n">
        <x:v>1.264742768953513</x:v>
      </x:c>
      <x:c r="H29" s="10" t="n">
        <x:v>-0.12880726840861578</x:v>
      </x:c>
      <x:c r="I29" s="10" t="n">
        <x:v>-0.12217331921215069</x:v>
      </x:c>
      <x:c r="J29" s="10" t="n">
        <x:v>0.5539933589449411</x:v>
      </x:c>
      <x:c r="K29" s="10" t="n">
        <x:v>0.5552245904721976</x:v>
      </x:c>
    </x:row>
    <x:row r="30">
      <x:c r="A30" s="14" t="n">
        <x:v>46171</x:v>
      </x:c>
      <x:c r="B30" s="10" t="n">
        <x:v>-0.006849552185815626</x:v>
      </x:c>
      <x:c r="C30" s="10" t="n">
        <x:v>-0.007033177917211259</x:v>
      </x:c>
      <x:c r="D30" s="10" t="n">
        <x:v>0.04617379245051615</x:v>
      </x:c>
      <x:c r="E30" s="28" t="n">
        <x:v>0.8931902969672704</x:v>
      </x:c>
      <x:c r="F30" s="28" t="n">
        <x:v>0.8998253521201245</x:v>
      </x:c>
      <x:c r="G30" s="28" t="n">
        <x:v>1.3231407390704635</x:v>
      </x:c>
      <x:c r="H30" s="10" t="n">
        <x:v>-0.1347745484875542</x:v>
      </x:c>
      <x:c r="I30" s="10" t="n">
        <x:v>-0.12834723043860663</x:v>
      </x:c>
      <x:c r="J30" s="10" t="n">
        <x:v>0.5464468895883507</x:v>
      </x:c>
      <x:c r="K30" s="10" t="n">
        <x:v>0.5501625332386132</x:v>
      </x:c>
    </x:row>
  </x:sheetData>
  <x:pageMargins left="0.7" right="0.7" top="0.75" bottom="0.75" header="0.3" footer="0.3"/>
  <x:drawing xmlns:r="http://schemas.openxmlformats.org/officeDocument/2006/relationships" r:id="R6be80f21392a432b"/>
  <x:tableParts count="1">
    <x:tablePart xmlns:r="http://schemas.openxmlformats.org/officeDocument/2006/relationships" r:id="Rbb6443937ffc4a2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48" hidden="0" customWidth="1"/>
  </x:cols>
  <x:sheetData>
    <x:row r="1">
      <x:c r="A1" s="32" t="str">
        <x:v>Parameter</x:v>
      </x:c>
      <x:c r="B1" s="32" t="str">
        <x:v>Value</x:v>
      </x:c>
      <x:c r="C1" s="32" t="str">
        <x:v>Source / Purpose</x:v>
      </x:c>
    </x:row>
    <x:row r="2">
      <x:c r="A2" s="33" t="str">
        <x:v>Universe</x:v>
      </x:c>
      <x:c r="B2" s="34" t="str">
        <x:v>12 major equity index futures</x:v>
      </x:c>
      <x:c r="C2" s="35" t="str">
        <x:v>data/master/universe.csv</x:v>
      </x:c>
    </x:row>
    <x:row r="3">
      <x:c r="A3" s="33" t="str">
        <x:v>Data</x:v>
      </x:c>
      <x:c r="B3" s="34" t="str">
        <x:v>Synthetic dummy market data</x:v>
      </x:c>
      <x:c r="C3" s="35" t="str">
        <x:v>src/data_generation.py</x:v>
      </x:c>
    </x:row>
    <x:row r="4">
      <x:c r="A4" s="33" t="str">
        <x:v>Rebalance</x:v>
      </x:c>
      <x:c r="B4" s="34" t="str">
        <x:v>Monthly</x:v>
      </x:c>
      <x:c r="C4" s="35" t="str">
        <x:v>Avoid overlapping target evaluation</x:v>
      </x:c>
    </x:row>
    <x:row r="5">
      <x:c r="A5" s="33" t="str">
        <x:v>Signals</x:v>
      </x:c>
      <x:c r="B5" s="34" t="str">
        <x:v>Rolling percentile / cross-sectional rank</x:v>
      </x:c>
      <x:c r="C5" s="35" t="str">
        <x:v>Scale normalization and explainability</x:v>
      </x:c>
    </x:row>
    <x:row r="6">
      <x:c r="A6" s="33" t="str">
        <x:v>Evidence</x:v>
      </x:c>
      <x:c r="B6" s="34" t="str">
        <x:v>7 market mechanisms</x:v>
      </x:c>
      <x:c r="C6" s="35" t="str">
        <x:v>config/evidence.yaml</x:v>
      </x:c>
    </x:row>
    <x:row r="7">
      <x:c r="A7" s="33" t="str">
        <x:v>Models</x:v>
      </x:c>
      <x:c r="B7" s="34" t="str">
        <x:v>Rule, Ridge, RF, LightGBM, Transformer-style Temporal Expert</x:v>
      </x:c>
      <x:c r="C7" s="35" t="str">
        <x:v>src/models.py</x:v>
      </x:c>
    </x:row>
    <x:row r="8">
      <x:c r="A8" s="33" t="str">
        <x:v>Model weighting</x:v>
      </x:c>
      <x:c r="B8" s="34" t="str">
        <x:v>70% prior + 30% OOS reliability</x:v>
      </x:c>
      <x:c r="C8" s="35" t="str">
        <x:v>Rank IC / ICIR / hit ratio</x:v>
      </x:c>
    </x:row>
    <x:row r="9">
      <x:c r="A9" s="33" t="str">
        <x:v>Portfolio</x:v>
      </x:c>
      <x:c r="B9" s="34" t="str">
        <x:v>Dollar-neutral, gross 100%, max 20% per asset</x:v>
      </x:c>
      <x:c r="C9" s="35" t="str">
        <x:v>config/config.yaml</x:v>
      </x:c>
    </x:row>
    <x:row r="10">
      <x:c r="A10" s="33" t="str">
        <x:v>Transaction cost</x:v>
      </x:c>
      <x:c r="B10" s="34" t="str">
        <x:v>3 bps per turnover unit</x:v>
      </x:c>
      <x:c r="C10" s="35" t="str">
        <x:v>Demo assumption</x:v>
      </x:c>
    </x:row>
    <x:row r="11">
      <x:c r="A11" s="33" t="str">
        <x:v>Temporal model</x:v>
      </x:c>
      <x:c r="B11" s="34" t="str">
        <x:v>Patch-attention surrogate</x:v>
      </x:c>
      <x:c r="C11" s="35" t="str">
        <x:v>Replace with TFT/PatchTST for production</x:v>
      </x:c>
    </x:row>
    <x:row r="12">
      <x:c r="A12" s="33" t="str">
        <x:v>Important</x:v>
      </x:c>
      <x:c r="B12" s="34" t="str">
        <x:v>Dummy results are not investable</x:v>
      </x:c>
      <x:c r="C12" s="35" t="str">
        <x:v>Validation and Bloomberg P-I-T checks required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5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2" t="str">
        <x:v>Global Equity Futures - Evidence Ensemble Demo</x:v>
      </x:c>
      <x:c r="B1" s="42"/>
      <x:c r="C1" s="42"/>
      <x:c r="D1" s="42"/>
      <x:c r="E1" s="42"/>
      <x:c r="F1" s="42"/>
      <x:c r="G1" s="42"/>
      <x:c r="H1" s="42"/>
    </x:row>
    <x:row r="2">
      <x:c r="A2" s="42"/>
      <x:c r="B2" s="42"/>
      <x:c r="C2" s="42"/>
      <x:c r="D2" s="42"/>
      <x:c r="E2" s="42"/>
      <x:c r="F2" s="42"/>
      <x:c r="G2" s="42"/>
      <x:c r="H2" s="42"/>
    </x:row>
    <x:row r="3">
      <x:c r="A3" s="48" t="str">
        <x:v>Synthetic data / PM discussion material - not for investment use</x:v>
      </x:c>
      <x:c r="B3" s="48"/>
      <x:c r="C3" s="48"/>
      <x:c r="D3" s="48"/>
      <x:c r="E3" s="48"/>
      <x:c r="F3" s="48"/>
      <x:c r="G3" s="48"/>
      <x:c r="H3" s="48"/>
    </x:row>
    <x:row r="5">
      <x:c r="A5" s="5" t="str">
        <x:v>Key KPI</x:v>
      </x:c>
      <x:c r="B5" s="5" t="str">
        <x:v>Value</x:v>
      </x:c>
      <x:c r="D5" s="5" t="str">
        <x:v>Model</x:v>
      </x:c>
      <x:c r="E5" s="5" t="str">
        <x:v>Latest Weight</x:v>
      </x:c>
      <x:c r="F5" s="5" t="str">
        <x:v>Average Rank IC</x:v>
      </x:c>
    </x:row>
    <x:row r="6">
      <x:c r="A6" t="str">
        <x:v>Latest Date</x:v>
      </x:c>
      <x:c r="B6" s="52" t="n">
        <x:f>Portfolio_Latest!A2</x:f>
        <x:v>46171</x:v>
      </x:c>
      <x:c r="D6" s="58" t="str">
        <x:f>Model_Performance!A2</x:f>
        <x:v>Rule</x:v>
      </x:c>
      <x:c r="E6" s="54" t="n">
        <x:f>Model_Performance!E2</x:f>
        <x:v>0.19320421425846585</x:v>
      </x:c>
      <x:c r="F6" s="60" t="n">
        <x:f>Model_Performance!B2</x:f>
        <x:v>0.010947791452545843</x:v>
      </x:c>
    </x:row>
    <x:row r="7">
      <x:c r="A7" t="str">
        <x:v>Dynamic Annual Return</x:v>
      </x:c>
      <x:c r="B7" s="54" t="n">
        <x:f>Performance_Metrics!B2</x:f>
        <x:v>-0.04566475318008045</x:v>
      </x:c>
      <x:c r="D7" s="58" t="str">
        <x:f>Model_Performance!A3</x:f>
        <x:v>Ridge</x:v>
      </x:c>
      <x:c r="E7" s="54" t="n">
        <x:f>Model_Performance!E3</x:f>
        <x:v>0.19001990224198503</x:v>
      </x:c>
      <x:c r="F7" s="60" t="n">
        <x:f>Model_Performance!B3</x:f>
        <x:v>0.0016879672052085887</x:v>
      </x:c>
    </x:row>
    <x:row r="8">
      <x:c r="A8" t="str">
        <x:v>Dynamic Annual Volatility</x:v>
      </x:c>
      <x:c r="B8" s="54" t="n">
        <x:f>Performance_Metrics!C2</x:f>
        <x:v>0.03867583826877932</x:v>
      </x:c>
      <x:c r="D8" s="58" t="str">
        <x:f>Model_Performance!A4</x:f>
        <x:v>RandomForest</x:v>
      </x:c>
      <x:c r="E8" s="54" t="n">
        <x:f>Model_Performance!E4</x:f>
        <x:v>0.2073784749366711</x:v>
      </x:c>
      <x:c r="F8" s="60" t="n">
        <x:f>Model_Performance!B4</x:f>
        <x:v>0.04846877260670367</x:v>
      </x:c>
    </x:row>
    <x:row r="9">
      <x:c r="A9" t="str">
        <x:v>Dynamic Sharpe</x:v>
      </x:c>
      <x:c r="B9" s="56" t="n">
        <x:f>Performance_Metrics!D2</x:f>
        <x:v>-1.1807049368324323</x:v>
      </x:c>
      <x:c r="D9" s="58" t="str">
        <x:f>Model_Performance!A5</x:f>
        <x:v>LightGBM</x:v>
      </x:c>
      <x:c r="E9" s="54" t="n">
        <x:f>Model_Performance!E5</x:f>
        <x:v>0.2189419990912045</x:v>
      </x:c>
      <x:c r="F9" s="60" t="n">
        <x:f>Model_Performance!B5</x:f>
        <x:v>0.06414275379792621</x:v>
      </x:c>
    </x:row>
    <x:row r="10">
      <x:c r="A10" t="str">
        <x:v>Dynamic Max Drawdown</x:v>
      </x:c>
      <x:c r="B10" s="54" t="n">
        <x:f>Performance_Metrics!E2</x:f>
        <x:v>-0.14192403354345118</x:v>
      </x:c>
      <x:c r="D10" s="58" t="str">
        <x:f>Model_Performance!A6</x:f>
        <x:v>Transformer</x:v>
      </x:c>
      <x:c r="E10" s="54" t="n">
        <x:f>Model_Performance!E6</x:f>
        <x:v>0.1904554094716735</x:v>
      </x:c>
      <x:c r="F10" s="60" t="n">
        <x:f>Model_Performance!B6</x:f>
        <x:v>-0.07547624789004098</x:v>
      </x:c>
    </x:row>
    <x:row r="11">
      <x:c r="A11" t="str">
        <x:v>Static Sharpe</x:v>
      </x:c>
      <x:c r="B11" s="56" t="n">
        <x:f>Performance_Metrics!D3</x:f>
        <x:v>-1.088967889566301</x:v>
      </x:c>
    </x:row>
    <x:row r="12">
      <x:c r="A12" t="str">
        <x:v>Sharpe Improvement</x:v>
      </x:c>
      <x:c r="B12" s="56" t="n">
        <x:f>Performance_Metrics!D2-Performance_Metrics!D3</x:f>
        <x:v>-0.09173704726613119</x:v>
      </x:c>
    </x:row>
    <x:row r="13">
      <x:c r="A13" t="str">
        <x:v>Net Exposure</x:v>
      </x:c>
      <x:c r="B13" s="54" t="n">
        <x:f>SUM(Portfolio_Latest!E2:E13)</x:f>
        <x:v>5.551115123125783e-17</x:v>
      </x:c>
    </x:row>
    <x:row r="16">
      <x:c r="A16" s="5" t="str">
        <x:v>Top Long</x:v>
      </x:c>
      <x:c r="B16" s="5" t="str">
        <x:v>Weight</x:v>
      </x:c>
      <x:c r="C16" s="5" t="str">
        <x:v>Dynamic Score</x:v>
      </x:c>
      <x:c r="E16" s="5" t="str">
        <x:v>Top Short</x:v>
      </x:c>
      <x:c r="F16" s="5" t="str">
        <x:v>Weight</x:v>
      </x:c>
      <x:c r="G16" s="5" t="str">
        <x:v>Dynamic Score</x:v>
      </x:c>
    </x:row>
    <x:row r="17">
      <x:c r="A17" s="58" t="str">
        <x:f>Portfolio_Latest!B2</x:f>
        <x:v>NKY</x:v>
      </x:c>
      <x:c r="B17" s="54" t="n">
        <x:f>Portfolio_Latest!E2</x:f>
        <x:v>0.1955511706651352</x:v>
      </x:c>
      <x:c r="C17" s="60" t="n">
        <x:f>Portfolio_Latest!C2</x:f>
        <x:v>0.1273053645343163</x:v>
      </x:c>
      <x:c r="E17" s="58" t="str">
        <x:f>Portfolio_Latest!B13</x:f>
        <x:v>SPX</x:v>
      </x:c>
      <x:c r="F17" s="54" t="n">
        <x:f>Portfolio_Latest!E13</x:f>
        <x:v>-0.1873470680773916</x:v>
      </x:c>
      <x:c r="G17" s="60" t="n">
        <x:f>Portfolio_Latest!C13</x:f>
        <x:v>-0.05969979449288046</x:v>
      </x:c>
    </x:row>
    <x:row r="18">
      <x:c r="A18" s="58" t="str">
        <x:f>Portfolio_Latest!B3</x:f>
        <x:v>FTSE</x:v>
      </x:c>
      <x:c r="B18" s="54" t="n">
        <x:f>Portfolio_Latest!E3</x:f>
        <x:v>0.13196728627829116</x:v>
      </x:c>
      <x:c r="C18" s="60" t="n">
        <x:f>Portfolio_Latest!C3</x:f>
        <x:v>0.0951580309054065</x:v>
      </x:c>
      <x:c r="E18" s="58" t="str">
        <x:f>Portfolio_Latest!B12</x:f>
        <x:v>TPX</x:v>
      </x:c>
      <x:c r="F18" s="54" t="n">
        <x:f>Portfolio_Latest!E12</x:f>
        <x:v>-0.11411541196418529</x:v>
      </x:c>
      <x:c r="G18" s="60" t="n">
        <x:f>Portfolio_Latest!C12</x:f>
        <x:v>-0.029768452091603698</x:v>
      </x:c>
    </x:row>
    <x:row r="19">
      <x:c r="A19" s="58" t="str">
        <x:f>Portfolio_Latest!B4</x:f>
        <x:v>HSI</x:v>
      </x:c>
      <x:c r="B19" s="54" t="n">
        <x:f>Portfolio_Latest!E4</x:f>
        <x:v>0.07129512961589786</x:v>
      </x:c>
      <x:c r="C19" s="60" t="n">
        <x:f>Portfolio_Latest!C4</x:f>
        <x:v>0.09410377292242</x:v>
      </x:c>
      <x:c r="E19" s="58" t="str">
        <x:f>Portfolio_Latest!B11</x:f>
        <x:v>DAX</x:v>
      </x:c>
      <x:c r="F19" s="54" t="n">
        <x:f>Portfolio_Latest!E11</x:f>
        <x:v>-0.08557699840272494</x:v>
      </x:c>
      <x:c r="G19" s="60" t="n">
        <x:f>Portfolio_Latest!C11</x:f>
        <x:v>-0.014612288948351607</x:v>
      </x:c>
    </x:row>
    <x:row r="22">
      <x:c r="A22" s="5" t="str">
        <x:v>Interpretation Guide</x:v>
      </x:c>
      <x:c r="B22" s="5"/>
      <x:c r="C22" s="5"/>
      <x:c r="D22" s="5"/>
      <x:c r="E22" s="5"/>
      <x:c r="F22" s="5"/>
      <x:c r="G22" s="5"/>
      <x:c r="H22" s="5"/>
    </x:row>
    <x:row r="23" ht="34" customHeight="1">
      <x:c r="A23" s="33" t="str">
        <x:v>1</x:v>
      </x:c>
      <x:c r="B23" s="33" t="str">
        <x:v>Evidence Layer</x:v>
      </x:c>
      <x:c r="C23" s="35" t="str">
        <x:v>Market data are converted to percentile/rank signals and market-mechanism evidence.</x:v>
      </x:c>
    </x:row>
    <x:row r="24" ht="34" customHeight="1">
      <x:c r="A24" s="33" t="str">
        <x:v>2</x:v>
      </x:c>
      <x:c r="B24" s="33" t="str">
        <x:v>Model Layer</x:v>
      </x:c>
      <x:c r="C24" s="35" t="str">
        <x:v>Rule, linear, tree, boosting, and temporal models provide diverse forecasts.</x:v>
      </x:c>
    </x:row>
    <x:row r="25" ht="34" customHeight="1">
      <x:c r="A25" s="33" t="str">
        <x:v>3</x:v>
      </x:c>
      <x:c r="B25" s="33" t="str">
        <x:v>Dynamic Ensemble</x:v>
      </x:c>
      <x:c r="C25" s="35" t="str">
        <x:v>Recent OOS Rank IC/ICIR/hit ratio adjust model voting power with shrinkage to equal weights.</x:v>
      </x:c>
    </x:row>
    <x:row r="26" ht="34" customHeight="1">
      <x:c r="A26" s="33" t="str">
        <x:v>4</x:v>
      </x:c>
      <x:c r="B26" s="33" t="str">
        <x:v>Transformer Explanation</x:v>
      </x:c>
      <x:c r="C26" s="35" t="str">
        <x:v>Temporal attention is checked against occlusion impact; attention alone is not treated as causal.</x:v>
      </x:c>
    </x:row>
    <x:row r="27" ht="34" customHeight="1">
      <x:c r="A27" s="33" t="str">
        <x:v>5</x:v>
      </x:c>
      <x:c r="B27" s="33" t="str">
        <x:v>Portfolio</x:v>
      </x:c>
      <x:c r="C27" s="35" t="str">
        <x:v>Scores are cross-sectionally centered, volatility-adjusted, constrained, and charged transaction costs.</x:v>
      </x:c>
    </x:row>
  </x:sheetData>
  <x:mergeCells>
    <x:mergeCell ref="A1:H2"/>
    <x:mergeCell ref="A3:H3"/>
    <x:mergeCell ref="A22:H2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42" hidden="0" customWidth="1"/>
    <x:col min="4" max="4" width="36" hidden="0" customWidth="1"/>
    <x:col min="5" max="5" width="14" hidden="0" customWidth="1"/>
    <x:col min="6" max="6" width="26" hidden="0" customWidth="1"/>
    <x:col min="7" max="7" width="30" hidden="0" customWidth="1"/>
    <x:col min="8" max="8" width="14" hidden="0" customWidth="1"/>
    <x:col min="9" max="9" width="34" hidden="0" customWidth="1"/>
  </x:cols>
  <x:sheetData>
    <x:row r="1">
      <x:c r="A1" s="67" t="str">
        <x:v>Category</x:v>
      </x:c>
      <x:c r="B1" s="67" t="str">
        <x:v>Feature</x:v>
      </x:c>
      <x:c r="C1" s="67" t="str">
        <x:v>Formula</x:v>
      </x:c>
      <x:c r="D1" s="67" t="str">
        <x:v>Required raw input / BBG field</x:v>
      </x:c>
      <x:c r="E1" s="67" t="str">
        <x:v>Lookback</x:v>
      </x:c>
      <x:c r="F1" s="67" t="str">
        <x:v>Signal transformation</x:v>
      </x:c>
      <x:c r="G1" s="67" t="str">
        <x:v>Evidence / mechanism</x:v>
      </x:c>
      <x:c r="H1" s="67" t="str">
        <x:v>Requirement</x:v>
      </x:c>
      <x:c r="I1" s="67" t="str">
        <x:v>Implementation note</x:v>
      </x:c>
    </x:row>
    <x:row r="2">
      <x:c r="A2" t="str">
        <x:v>Price</x:v>
      </x:c>
      <x:c r="B2" t="str">
        <x:v>ret_5d</x:v>
      </x:c>
      <x:c r="C2" t="str">
        <x:v>P_t / P_(t-5) - 1</x:v>
      </x:c>
      <x:c r="D2" t="str">
        <x:v>PX_LAST</x:v>
      </x:c>
      <x:c r="E2" t="str">
        <x:v>5</x:v>
      </x:c>
      <x:c r="F2" t="str">
        <x:v>Rolling percentile (756d)</x:v>
      </x:c>
      <x:c r="G2" t="str">
        <x:v>Correction / Persistence</x:v>
      </x:c>
      <x:c r="H2" t="str">
        <x:v>Required</x:v>
      </x:c>
      <x:c r="I2" t="str">
        <x:v>Short-term price move</x:v>
      </x:c>
    </x:row>
    <x:row r="3">
      <x:c r="A3" t="str">
        <x:v>Price</x:v>
      </x:c>
      <x:c r="B3" t="str">
        <x:v>ret_20d</x:v>
      </x:c>
      <x:c r="C3" t="str">
        <x:v>P_t / P_(t-20) - 1</x:v>
      </x:c>
      <x:c r="D3" t="str">
        <x:v>PX_LAST</x:v>
      </x:c>
      <x:c r="E3" t="str">
        <x:v>20</x:v>
      </x:c>
      <x:c r="F3" t="str">
        <x:v>Rolling percentile (756d); CS rank</x:v>
      </x:c>
      <x:c r="G3" t="str">
        <x:v>Persistence / Correction / Relative Strength</x:v>
      </x:c>
      <x:c r="H3" t="str">
        <x:v>Required</x:v>
      </x:c>
      <x:c r="I3" t="str">
        <x:v>Standard 1-month horizon</x:v>
      </x:c>
    </x:row>
    <x:row r="4">
      <x:c r="A4" t="str">
        <x:v>Price</x:v>
      </x:c>
      <x:c r="B4" t="str">
        <x:v>ret_60d</x:v>
      </x:c>
      <x:c r="C4" t="str">
        <x:v>P_t / P_(t-60) - 1</x:v>
      </x:c>
      <x:c r="D4" t="str">
        <x:v>PX_LAST</x:v>
      </x:c>
      <x:c r="E4" t="str">
        <x:v>60</x:v>
      </x:c>
      <x:c r="F4" t="str">
        <x:v>Rolling percentile (756d); CS rank</x:v>
      </x:c>
      <x:c r="G4" t="str">
        <x:v>Persistence / Relative Strength</x:v>
      </x:c>
      <x:c r="H4" t="str">
        <x:v>Required</x:v>
      </x:c>
      <x:c r="I4" t="str">
        <x:v>Standard 3-month momentum</x:v>
      </x:c>
    </x:row>
    <x:row r="5">
      <x:c r="A5" t="str">
        <x:v>Price</x:v>
      </x:c>
      <x:c r="B5" t="str">
        <x:v>ret_120d</x:v>
      </x:c>
      <x:c r="C5" t="str">
        <x:v>P_t / P_(t-120) - 1</x:v>
      </x:c>
      <x:c r="D5" t="str">
        <x:v>PX_LAST</x:v>
      </x:c>
      <x:c r="E5" t="str">
        <x:v>120</x:v>
      </x:c>
      <x:c r="F5" t="str">
        <x:v>Rolling percentile (756d); CS rank</x:v>
      </x:c>
      <x:c r="G5" t="str">
        <x:v>Persistence / Relative Strength</x:v>
      </x:c>
      <x:c r="H5" t="str">
        <x:v>Required</x:v>
      </x:c>
      <x:c r="I5" t="str">
        <x:v>Medium-long momentum</x:v>
      </x:c>
    </x:row>
    <x:row r="6">
      <x:c r="A6" t="str">
        <x:v>Price</x:v>
      </x:c>
      <x:c r="B6" t="str">
        <x:v>ret_252d</x:v>
      </x:c>
      <x:c r="C6" t="str">
        <x:v>P_t / P_(t-252) - 1</x:v>
      </x:c>
      <x:c r="D6" t="str">
        <x:v>PX_LAST</x:v>
      </x:c>
      <x:c r="E6" t="str">
        <x:v>252</x:v>
      </x:c>
      <x:c r="F6" t="str">
        <x:v>Rolling percentile (756d)</x:v>
      </x:c>
      <x:c r="G6" t="str">
        <x:v>Persistence</x:v>
      </x:c>
      <x:c r="H6" t="str">
        <x:v>Optional</x:v>
      </x:c>
      <x:c r="I6" t="str">
        <x:v>Long trend</x:v>
      </x:c>
    </x:row>
    <x:row r="7">
      <x:c r="A7" t="str">
        <x:v>Trend</x:v>
      </x:c>
      <x:c r="B7" t="str">
        <x:v>ma_gap_20d</x:v>
      </x:c>
      <x:c r="C7" t="str">
        <x:v>P_t / MA_20(P)_t - 1</x:v>
      </x:c>
      <x:c r="D7" t="str">
        <x:v>PX_LAST</x:v>
      </x:c>
      <x:c r="E7" t="str">
        <x:v>20</x:v>
      </x:c>
      <x:c r="F7" t="str">
        <x:v>Rolling percentile (756d)</x:v>
      </x:c>
      <x:c r="G7" t="str">
        <x:v>Persistence</x:v>
      </x:c>
      <x:c r="H7" t="str">
        <x:v>Required</x:v>
      </x:c>
      <x:c r="I7" t="str">
        <x:v>Short trend position</x:v>
      </x:c>
    </x:row>
    <x:row r="8">
      <x:c r="A8" t="str">
        <x:v>Trend</x:v>
      </x:c>
      <x:c r="B8" t="str">
        <x:v>ma_gap_60d</x:v>
      </x:c>
      <x:c r="C8" t="str">
        <x:v>P_t / MA_60(P)_t - 1</x:v>
      </x:c>
      <x:c r="D8" t="str">
        <x:v>PX_LAST</x:v>
      </x:c>
      <x:c r="E8" t="str">
        <x:v>60</x:v>
      </x:c>
      <x:c r="F8" t="str">
        <x:v>Rolling percentile (756d)</x:v>
      </x:c>
      <x:c r="G8" t="str">
        <x:v>Persistence</x:v>
      </x:c>
      <x:c r="H8" t="str">
        <x:v>Required</x:v>
      </x:c>
      <x:c r="I8" t="str">
        <x:v>Medium trend position</x:v>
      </x:c>
    </x:row>
    <x:row r="9">
      <x:c r="A9" t="str">
        <x:v>Trend</x:v>
      </x:c>
      <x:c r="B9" t="str">
        <x:v>ma_gap_120d</x:v>
      </x:c>
      <x:c r="C9" t="str">
        <x:v>P_t / MA_120(P)_t - 1</x:v>
      </x:c>
      <x:c r="D9" t="str">
        <x:v>PX_LAST</x:v>
      </x:c>
      <x:c r="E9" t="str">
        <x:v>120</x:v>
      </x:c>
      <x:c r="F9" t="str">
        <x:v>Rolling percentile (756d)</x:v>
      </x:c>
      <x:c r="G9" t="str">
        <x:v>Persistence</x:v>
      </x:c>
      <x:c r="H9" t="str">
        <x:v>Optional</x:v>
      </x:c>
      <x:c r="I9" t="str">
        <x:v>Longer trend position</x:v>
      </x:c>
    </x:row>
    <x:row r="10">
      <x:c r="A10" t="str">
        <x:v>Trend</x:v>
      </x:c>
      <x:c r="B10" t="str">
        <x:v>ma_slope_60d</x:v>
      </x:c>
      <x:c r="C10" t="str">
        <x:v>MA_60(P)_t / MA_60(P)_(t-20) - 1</x:v>
      </x:c>
      <x:c r="D10" t="str">
        <x:v>PX_LAST</x:v>
      </x:c>
      <x:c r="E10" t="str">
        <x:v>60 + 20</x:v>
      </x:c>
      <x:c r="F10" t="str">
        <x:v>Rolling percentile (756d)</x:v>
      </x:c>
      <x:c r="G10" t="str">
        <x:v>Persistence</x:v>
      </x:c>
      <x:c r="H10" t="str">
        <x:v>Required</x:v>
      </x:c>
      <x:c r="I10" t="str">
        <x:v>Direction of medium trend</x:v>
      </x:c>
    </x:row>
    <x:row r="11">
      <x:c r="A11" t="str">
        <x:v>Trend</x:v>
      </x:c>
      <x:c r="B11" t="str">
        <x:v>breakout_120d</x:v>
      </x:c>
      <x:c r="C11" t="str">
        <x:v>P_t / max(P_(t-119:t)) - 1</x:v>
      </x:c>
      <x:c r="D11" t="str">
        <x:v>PX_LAST</x:v>
      </x:c>
      <x:c r="E11" t="str">
        <x:v>120</x:v>
      </x:c>
      <x:c r="F11" t="str">
        <x:v>Rolling percentile (756d)</x:v>
      </x:c>
      <x:c r="G11" t="str">
        <x:v>Persistence</x:v>
      </x:c>
      <x:c r="H11" t="str">
        <x:v>Required</x:v>
      </x:c>
      <x:c r="I11" t="str">
        <x:v>Distance from rolling high</x:v>
      </x:c>
    </x:row>
    <x:row r="12">
      <x:c r="A12" t="str">
        <x:v>Correction</x:v>
      </x:c>
      <x:c r="B12" t="str">
        <x:v>drawdown_60d</x:v>
      </x:c>
      <x:c r="C12" t="str">
        <x:v>P_t / max(P_(t-59:t)) - 1</x:v>
      </x:c>
      <x:c r="D12" t="str">
        <x:v>PX_LAST</x:v>
      </x:c>
      <x:c r="E12" t="str">
        <x:v>60</x:v>
      </x:c>
      <x:c r="F12" t="str">
        <x:v>Rolling percentile; invert where used</x:v>
      </x:c>
      <x:c r="G12" t="str">
        <x:v>Correction</x:v>
      </x:c>
      <x:c r="H12" t="str">
        <x:v>Required</x:v>
      </x:c>
      <x:c r="I12" t="str">
        <x:v>Short correction depth</x:v>
      </x:c>
    </x:row>
    <x:row r="13">
      <x:c r="A13" t="str">
        <x:v>Correction</x:v>
      </x:c>
      <x:c r="B13" t="str">
        <x:v>drawdown_252d</x:v>
      </x:c>
      <x:c r="C13" t="str">
        <x:v>P_t / max(P_(t-251:t)) - 1</x:v>
      </x:c>
      <x:c r="D13" t="str">
        <x:v>PX_LAST</x:v>
      </x:c>
      <x:c r="E13" t="str">
        <x:v>252</x:v>
      </x:c>
      <x:c r="F13" t="str">
        <x:v>Rolling percentile; invert where used</x:v>
      </x:c>
      <x:c r="G13" t="str">
        <x:v>Correction</x:v>
      </x:c>
      <x:c r="H13" t="str">
        <x:v>Optional</x:v>
      </x:c>
      <x:c r="I13" t="str">
        <x:v>Long drawdown depth</x:v>
      </x:c>
    </x:row>
    <x:row r="14">
      <x:c r="A14" t="str">
        <x:v>Correction</x:v>
      </x:c>
      <x:c r="B14" t="str">
        <x:v>RSI_14</x:v>
      </x:c>
      <x:c r="C14" t="str">
        <x:v>100 - 100/(1 + AvgGain_14/AvgLoss_14)</x:v>
      </x:c>
      <x:c r="D14" t="str">
        <x:v>PX_LAST</x:v>
      </x:c>
      <x:c r="E14" t="str">
        <x:v>14</x:v>
      </x:c>
      <x:c r="F14" t="str">
        <x:v>Rolling percentile (756d)</x:v>
      </x:c>
      <x:c r="G14" t="str">
        <x:v>Correction</x:v>
      </x:c>
      <x:c r="H14" t="str">
        <x:v>Required</x:v>
      </x:c>
      <x:c r="I14" t="str">
        <x:v>Overbought / oversold</x:v>
      </x:c>
    </x:row>
    <x:row r="15">
      <x:c r="A15" t="str">
        <x:v>Correction</x:v>
      </x:c>
      <x:c r="B15" t="str">
        <x:v>bollinger_position_20d</x:v>
      </x:c>
      <x:c r="C15" t="str">
        <x:v>(P_t - MA_20(P)_t) / (2 * SD_20(P)_t)</x:v>
      </x:c>
      <x:c r="D15" t="str">
        <x:v>PX_LAST</x:v>
      </x:c>
      <x:c r="E15" t="str">
        <x:v>20</x:v>
      </x:c>
      <x:c r="F15" t="str">
        <x:v>Rolling percentile (756d)</x:v>
      </x:c>
      <x:c r="G15" t="str">
        <x:v>Correction</x:v>
      </x:c>
      <x:c r="H15" t="str">
        <x:v>Required</x:v>
      </x:c>
      <x:c r="I15" t="str">
        <x:v>Relative position inside band</x:v>
      </x:c>
    </x:row>
    <x:row r="16">
      <x:c r="A16" t="str">
        <x:v>Volatility</x:v>
      </x:c>
      <x:c r="B16" t="str">
        <x:v>realized_vol_20d</x:v>
      </x:c>
      <x:c r="C16" t="str">
        <x:v>sqrt(252) * SD(log(P_t/P_(t-1)),20)</x:v>
      </x:c>
      <x:c r="D16" t="str">
        <x:v>PX_LAST</x:v>
      </x:c>
      <x:c r="E16" t="str">
        <x:v>20</x:v>
      </x:c>
      <x:c r="F16" t="str">
        <x:v>Rolling percentile; invert for support</x:v>
      </x:c>
      <x:c r="G16" t="str">
        <x:v>Volatility</x:v>
      </x:c>
      <x:c r="H16" t="str">
        <x:v>Required</x:v>
      </x:c>
      <x:c r="I16" t="str">
        <x:v>Current realized volatility</x:v>
      </x:c>
    </x:row>
    <x:row r="17">
      <x:c r="A17" t="str">
        <x:v>Volatility</x:v>
      </x:c>
      <x:c r="B17" t="str">
        <x:v>realized_vol_60d</x:v>
      </x:c>
      <x:c r="C17" t="str">
        <x:v>sqrt(252) * SD(log(P_t/P_(t-1)),60)</x:v>
      </x:c>
      <x:c r="D17" t="str">
        <x:v>PX_LAST</x:v>
      </x:c>
      <x:c r="E17" t="str">
        <x:v>60</x:v>
      </x:c>
      <x:c r="F17" t="str">
        <x:v>Rolling percentile</x:v>
      </x:c>
      <x:c r="G17" t="str">
        <x:v>Volatility</x:v>
      </x:c>
      <x:c r="H17" t="str">
        <x:v>Required</x:v>
      </x:c>
      <x:c r="I17" t="str">
        <x:v>Medium volatility baseline</x:v>
      </x:c>
    </x:row>
    <x:row r="18">
      <x:c r="A18" t="str">
        <x:v>Volatility</x:v>
      </x:c>
      <x:c r="B18" t="str">
        <x:v>vol_ratio_20_60</x:v>
      </x:c>
      <x:c r="C18" t="str">
        <x:v>RV_20 / RV_60</x:v>
      </x:c>
      <x:c r="D18" t="str">
        <x:v>PX_LAST</x:v>
      </x:c>
      <x:c r="E18" t="str">
        <x:v>20/60</x:v>
      </x:c>
      <x:c r="F18" t="str">
        <x:v>Rolling percentile; invert for support</x:v>
      </x:c>
      <x:c r="G18" t="str">
        <x:v>Volatility</x:v>
      </x:c>
      <x:c r="H18" t="str">
        <x:v>Required</x:v>
      </x:c>
      <x:c r="I18" t="str">
        <x:v>Volatility expansion</x:v>
      </x:c>
    </x:row>
    <x:row r="19">
      <x:c r="A19" t="str">
        <x:v>Volatility</x:v>
      </x:c>
      <x:c r="B19" t="str">
        <x:v>true_range</x:v>
      </x:c>
      <x:c r="C19" t="str">
        <x:v>max(H-L, |H-C_prev|, |L-C_prev|)</x:v>
      </x:c>
      <x:c r="D19" t="str">
        <x:v>PX_HIGH; PX_LOW; PX_LAST</x:v>
      </x:c>
      <x:c r="E19" t="str">
        <x:v>1</x:v>
      </x:c>
      <x:c r="F19" t="str">
        <x:v>Used in ATR</x:v>
      </x:c>
      <x:c r="G19" t="str">
        <x:v>Volatility</x:v>
      </x:c>
      <x:c r="H19" t="str">
        <x:v>Required</x:v>
      </x:c>
      <x:c r="I19" t="str">
        <x:v>Daily range including gaps</x:v>
      </x:c>
    </x:row>
    <x:row r="20">
      <x:c r="A20" t="str">
        <x:v>Volatility</x:v>
      </x:c>
      <x:c r="B20" t="str">
        <x:v>atr_pct_20d</x:v>
      </x:c>
      <x:c r="C20" t="str">
        <x:v>MA_20(TrueRange) / P_t</x:v>
      </x:c>
      <x:c r="D20" t="str">
        <x:v>PX_HIGH; PX_LOW; PX_LAST</x:v>
      </x:c>
      <x:c r="E20" t="str">
        <x:v>20</x:v>
      </x:c>
      <x:c r="F20" t="str">
        <x:v>Rolling percentile; invert for support</x:v>
      </x:c>
      <x:c r="G20" t="str">
        <x:v>Volatility</x:v>
      </x:c>
      <x:c r="H20" t="str">
        <x:v>Required</x:v>
      </x:c>
      <x:c r="I20" t="str">
        <x:v>Range-based stress</x:v>
      </x:c>
    </x:row>
    <x:row r="21">
      <x:c r="A21" t="str">
        <x:v>Flow</x:v>
      </x:c>
      <x:c r="B21" t="str">
        <x:v>volume_ratio_20d</x:v>
      </x:c>
      <x:c r="C21" t="str">
        <x:v>Volume_t / MA_20(Volume)_t</x:v>
      </x:c>
      <x:c r="D21" t="str">
        <x:v>PX_VOLUME</x:v>
      </x:c>
      <x:c r="E21" t="str">
        <x:v>20</x:v>
      </x:c>
      <x:c r="F21" t="str">
        <x:v>Rolling percentile</x:v>
      </x:c>
      <x:c r="G21" t="str">
        <x:v>Flow</x:v>
      </x:c>
      <x:c r="H21" t="str">
        <x:v>Optional</x:v>
      </x:c>
      <x:c r="I21" t="str">
        <x:v>Participation expansion</x:v>
      </x:c>
    </x:row>
    <x:row r="22">
      <x:c r="A22" t="str">
        <x:v>Flow</x:v>
      </x:c>
      <x:c r="B22" t="str">
        <x:v>open_interest_change_20d</x:v>
      </x:c>
      <x:c r="C22" t="str">
        <x:v>OI_t / OI_(t-20) - 1</x:v>
      </x:c>
      <x:c r="D22" t="str">
        <x:v>OPEN_INT</x:v>
      </x:c>
      <x:c r="E22" t="str">
        <x:v>20</x:v>
      </x:c>
      <x:c r="F22" t="str">
        <x:v>Rolling percentile</x:v>
      </x:c>
      <x:c r="G22" t="str">
        <x:v>Flow</x:v>
      </x:c>
      <x:c r="H22" t="str">
        <x:v>Optional</x:v>
      </x:c>
      <x:c r="I22" t="str">
        <x:v>Position accumulation; roll sensitive</x:v>
      </x:c>
    </x:row>
    <x:row r="23">
      <x:c r="A23" t="str">
        <x:v>Relative</x:v>
      </x:c>
      <x:c r="B23" t="str">
        <x:v>return_20d_cs_rank</x:v>
      </x:c>
      <x:c r="C23" t="str">
        <x:v>CS percentile rank of ret_20d across 12 markets</x:v>
      </x:c>
      <x:c r="D23" t="str">
        <x:v>PX_LAST</x:v>
      </x:c>
      <x:c r="E23" t="str">
        <x:v>20</x:v>
      </x:c>
      <x:c r="F23" t="str">
        <x:v>Already 0-1</x:v>
      </x:c>
      <x:c r="G23" t="str">
        <x:v>Relative Strength</x:v>
      </x:c>
      <x:c r="H23" t="str">
        <x:v>Required</x:v>
      </x:c>
      <x:c r="I23" t="str">
        <x:v>Cross-market leadership</x:v>
      </x:c>
    </x:row>
    <x:row r="24">
      <x:c r="A24" t="str">
        <x:v>Relative</x:v>
      </x:c>
      <x:c r="B24" t="str">
        <x:v>return_60d_cs_rank</x:v>
      </x:c>
      <x:c r="C24" t="str">
        <x:v>CS percentile rank of ret_60d across 12 markets</x:v>
      </x:c>
      <x:c r="D24" t="str">
        <x:v>PX_LAST</x:v>
      </x:c>
      <x:c r="E24" t="str">
        <x:v>60</x:v>
      </x:c>
      <x:c r="F24" t="str">
        <x:v>Already 0-1</x:v>
      </x:c>
      <x:c r="G24" t="str">
        <x:v>Relative Strength</x:v>
      </x:c>
      <x:c r="H24" t="str">
        <x:v>Required</x:v>
      </x:c>
      <x:c r="I24" t="str">
        <x:v>Core relative strength</x:v>
      </x:c>
    </x:row>
    <x:row r="25">
      <x:c r="A25" t="str">
        <x:v>Relative</x:v>
      </x:c>
      <x:c r="B25" t="str">
        <x:v>return_120d_cs_rank</x:v>
      </x:c>
      <x:c r="C25" t="str">
        <x:v>CS percentile rank of ret_120d across 12 markets</x:v>
      </x:c>
      <x:c r="D25" t="str">
        <x:v>PX_LAST</x:v>
      </x:c>
      <x:c r="E25" t="str">
        <x:v>120</x:v>
      </x:c>
      <x:c r="F25" t="str">
        <x:v>Already 0-1</x:v>
      </x:c>
      <x:c r="G25" t="str">
        <x:v>Relative Strength</x:v>
      </x:c>
      <x:c r="H25" t="str">
        <x:v>Optional</x:v>
      </x:c>
      <x:c r="I25" t="str">
        <x:v>Persistent leadership</x:v>
      </x:c>
    </x:row>
    <x:row r="26">
      <x:c r="A26" t="str">
        <x:v>Relative</x:v>
      </x:c>
      <x:c r="B26" t="str">
        <x:v>relative_global_60d</x:v>
      </x:c>
      <x:c r="C26" t="str">
        <x:v>ret_60d(i) - mean_j(ret_60d(j))</x:v>
      </x:c>
      <x:c r="D26" t="str">
        <x:v>PX_LAST for all 12 markets</x:v>
      </x:c>
      <x:c r="E26" t="str">
        <x:v>60</x:v>
      </x:c>
      <x:c r="F26" t="str">
        <x:v>Rolling percentile by asset</x:v>
      </x:c>
      <x:c r="G26" t="str">
        <x:v>Relative Strength</x:v>
      </x:c>
      <x:c r="H26" t="str">
        <x:v>Required</x:v>
      </x:c>
      <x:c r="I26" t="str">
        <x:v>Global average excess return</x:v>
      </x:c>
    </x:row>
    <x:row r="27">
      <x:c r="A27" t="str">
        <x:v>Relative</x:v>
      </x:c>
      <x:c r="B27" t="str">
        <x:v>relative_region_60d</x:v>
      </x:c>
      <x:c r="C27" t="str">
        <x:v>ret_60d(i) - mean_region(ret_60d)</x:v>
      </x:c>
      <x:c r="D27" t="str">
        <x:v>PX_LAST for region peers</x:v>
      </x:c>
      <x:c r="E27" t="str">
        <x:v>60</x:v>
      </x:c>
      <x:c r="F27" t="str">
        <x:v>Rolling percentile by asset</x:v>
      </x:c>
      <x:c r="G27" t="str">
        <x:v>Relative Strength</x:v>
      </x:c>
      <x:c r="H27" t="str">
        <x:v>Optional</x:v>
      </x:c>
      <x:c r="I27" t="str">
        <x:v>Regional rotation</x:v>
      </x:c>
    </x:row>
    <x:row r="28">
      <x:c r="A28" t="str">
        <x:v>Cross Asset</x:v>
      </x:c>
      <x:c r="B28" t="str">
        <x:v>VIX_percentile</x:v>
      </x:c>
      <x:c r="C28" t="str">
        <x:v>Percentile of VIX level</x:v>
      </x:c>
      <x:c r="D28" t="str">
        <x:v>VIX Index / PX_LAST</x:v>
      </x:c>
      <x:c r="E28" t="str">
        <x:v>756</x:v>
      </x:c>
      <x:c r="F28" t="str">
        <x:v>Invert for equity support</x:v>
      </x:c>
      <x:c r="G28" t="str">
        <x:v>Volatility / Intermarket</x:v>
      </x:c>
      <x:c r="H28" t="str">
        <x:v>Required</x:v>
      </x:c>
      <x:c r="I28" t="str">
        <x:v>Global equity stress</x:v>
      </x:c>
    </x:row>
    <x:row r="29">
      <x:c r="A29" t="str">
        <x:v>Cross Asset</x:v>
      </x:c>
      <x:c r="B29" t="str">
        <x:v>MOVE_percentile</x:v>
      </x:c>
      <x:c r="C29" t="str">
        <x:v>Percentile of MOVE level</x:v>
      </x:c>
      <x:c r="D29" t="str">
        <x:v>MOVE Index / PX_LAST</x:v>
      </x:c>
      <x:c r="E29" t="str">
        <x:v>756</x:v>
      </x:c>
      <x:c r="F29" t="str">
        <x:v>Invert for equity support</x:v>
      </x:c>
      <x:c r="G29" t="str">
        <x:v>Volatility / Rates</x:v>
      </x:c>
      <x:c r="H29" t="str">
        <x:v>Optional</x:v>
      </x:c>
      <x:c r="I29" t="str">
        <x:v>Rates volatility stress</x:v>
      </x:c>
    </x:row>
    <x:row r="30">
      <x:c r="A30" t="str">
        <x:v>Cross Asset</x:v>
      </x:c>
      <x:c r="B30" t="str">
        <x:v>HY_spread_percentile</x:v>
      </x:c>
      <x:c r="C30" t="str">
        <x:v>Percentile of HY spread</x:v>
      </x:c>
      <x:c r="D30" t="str">
        <x:v>Selected HY OAS index / PX_LAST</x:v>
      </x:c>
      <x:c r="E30" t="str">
        <x:v>756</x:v>
      </x:c>
      <x:c r="F30" t="str">
        <x:v>Invert for equity support</x:v>
      </x:c>
      <x:c r="G30" t="str">
        <x:v>Intermarket</x:v>
      </x:c>
      <x:c r="H30" t="str">
        <x:v>Optional</x:v>
      </x:c>
      <x:c r="I30" t="str">
        <x:v>Credit risk appetite</x:v>
      </x:c>
    </x:row>
    <x:row r="31">
      <x:c r="A31" t="str">
        <x:v>Rates</x:v>
      </x:c>
      <x:c r="B31" t="str">
        <x:v>US10Y_change_20d</x:v>
      </x:c>
      <x:c r="C31" t="str">
        <x:v>US10Y_t - US10Y_(t-20)</x:v>
      </x:c>
      <x:c r="D31" t="str">
        <x:v>USGG10YR Index / PX_LAST</x:v>
      </x:c>
      <x:c r="E31" t="str">
        <x:v>20</x:v>
      </x:c>
      <x:c r="F31" t="str">
        <x:v>Rolling percentile; invert</x:v>
      </x:c>
      <x:c r="G31" t="str">
        <x:v>Rates / Macro Market</x:v>
      </x:c>
      <x:c r="H31" t="str">
        <x:v>Required</x:v>
      </x:c>
      <x:c r="I31" t="str">
        <x:v>Long-rate shock</x:v>
      </x:c>
    </x:row>
    <x:row r="32">
      <x:c r="A32" t="str">
        <x:v>Rates</x:v>
      </x:c>
      <x:c r="B32" t="str">
        <x:v>US2Y_change_20d</x:v>
      </x:c>
      <x:c r="C32" t="str">
        <x:v>US2Y_t - US2Y_(t-20)</x:v>
      </x:c>
      <x:c r="D32" t="str">
        <x:v>USGG2YR Index / PX_LAST</x:v>
      </x:c>
      <x:c r="E32" t="str">
        <x:v>20</x:v>
      </x:c>
      <x:c r="F32" t="str">
        <x:v>Rolling percentile; invert</x:v>
      </x:c>
      <x:c r="G32" t="str">
        <x:v>Rates / Macro Market</x:v>
      </x:c>
      <x:c r="H32" t="str">
        <x:v>Required</x:v>
      </x:c>
      <x:c r="I32" t="str">
        <x:v>Policy expectation shock</x:v>
      </x:c>
    </x:row>
    <x:row r="33">
      <x:c r="A33" t="str">
        <x:v>Rates</x:v>
      </x:c>
      <x:c r="B33" t="str">
        <x:v>curve_change_20d</x:v>
      </x:c>
      <x:c r="C33" t="str">
        <x:v>(US10Y-US2Y)_t - (US10Y-US2Y)_(t-20)</x:v>
      </x:c>
      <x:c r="D33" t="str">
        <x:v>USGG10YR; USGG2YR</x:v>
      </x:c>
      <x:c r="E33" t="str">
        <x:v>20</x:v>
      </x:c>
      <x:c r="F33" t="str">
        <x:v>Rolling percentile; context dependent</x:v>
      </x:c>
      <x:c r="G33" t="str">
        <x:v>Rates</x:v>
      </x:c>
      <x:c r="H33" t="str">
        <x:v>Optional</x:v>
      </x:c>
      <x:c r="I33" t="str">
        <x:v>Yield-curve movement</x:v>
      </x:c>
    </x:row>
    <x:row r="34">
      <x:c r="A34" t="str">
        <x:v>FX</x:v>
      </x:c>
      <x:c r="B34" t="str">
        <x:v>local_fx_support</x:v>
      </x:c>
      <x:c r="C34" t="str">
        <x:v>Market-specific sign * 20d FX return</x:v>
      </x:c>
      <x:c r="D34" t="str">
        <x:v>DXY; USDJPY; EURUSD; GBPUSD; AUDUSD; USDCNH; USDKRW</x:v>
      </x:c>
      <x:c r="E34" t="str">
        <x:v>20</x:v>
      </x:c>
      <x:c r="F34" t="str">
        <x:v>Rolling percentile</x:v>
      </x:c>
      <x:c r="G34" t="str">
        <x:v>FX / Macro Market</x:v>
      </x:c>
      <x:c r="H34" t="str">
        <x:v>Required by market</x:v>
      </x:c>
      <x:c r="I34" t="str">
        <x:v>Sign is defined in config</x:v>
      </x:c>
    </x:row>
    <x:row r="35">
      <x:c r="A35" t="str">
        <x:v>Commodity</x:v>
      </x:c>
      <x:c r="B35" t="str">
        <x:v>oil_return_20d</x:v>
      </x:c>
      <x:c r="C35" t="str">
        <x:v>Oil_t / Oil_(t-20) - 1</x:v>
      </x:c>
      <x:c r="D35" t="str">
        <x:v>CL1 Comdty / PX_LAST</x:v>
      </x:c>
      <x:c r="E35" t="str">
        <x:v>20</x:v>
      </x:c>
      <x:c r="F35" t="str">
        <x:v>Rolling percentile</x:v>
      </x:c>
      <x:c r="G35" t="str">
        <x:v>Commodity / Macro Market</x:v>
      </x:c>
      <x:c r="H35" t="str">
        <x:v>Optional</x:v>
      </x:c>
      <x:c r="I35" t="str">
        <x:v>Growth vs inflation context</x:v>
      </x:c>
    </x:row>
    <x:row r="36">
      <x:c r="A36" t="str">
        <x:v>Commodity</x:v>
      </x:c>
      <x:c r="B36" t="str">
        <x:v>copper_return_20d</x:v>
      </x:c>
      <x:c r="C36" t="str">
        <x:v>Copper_t / Copper_(t-20) - 1</x:v>
      </x:c>
      <x:c r="D36" t="str">
        <x:v>HG1 Comdty / PX_LAST</x:v>
      </x:c>
      <x:c r="E36" t="str">
        <x:v>20</x:v>
      </x:c>
      <x:c r="F36" t="str">
        <x:v>Rolling percentile</x:v>
      </x:c>
      <x:c r="G36" t="str">
        <x:v>Commodity / Intermarket</x:v>
      </x:c>
      <x:c r="H36" t="str">
        <x:v>Optional</x:v>
      </x:c>
      <x:c r="I36" t="str">
        <x:v>Cyclical growth proxy</x:v>
      </x:c>
    </x:row>
    <x:row r="37">
      <x:c r="A37" t="str">
        <x:v>Commodity</x:v>
      </x:c>
      <x:c r="B37" t="str">
        <x:v>gold_return_20d</x:v>
      </x:c>
      <x:c r="C37" t="str">
        <x:v>Gold_t / Gold_(t-20) - 1</x:v>
      </x:c>
      <x:c r="D37" t="str">
        <x:v>GC1 Comdty / PX_LAST</x:v>
      </x:c>
      <x:c r="E37" t="str">
        <x:v>20</x:v>
      </x:c>
      <x:c r="F37" t="str">
        <x:v>Rolling percentile; context dependent</x:v>
      </x:c>
      <x:c r="G37" t="str">
        <x:v>Commodity / Macro Market</x:v>
      </x:c>
      <x:c r="H37" t="str">
        <x:v>Optional</x:v>
      </x:c>
      <x:c r="I37" t="str">
        <x:v>Safe-haven / real-rate context</x:v>
      </x:c>
    </x:row>
    <x:row r="38">
      <x:c r="A38" t="str">
        <x:v>Calendar</x:v>
      </x:c>
      <x:c r="B38" t="str">
        <x:v>turn_of_month</x:v>
      </x:c>
      <x:c r="C38" t="str">
        <x:v>1 when business date is month-end -1 through month-start +3</x:v>
      </x:c>
      <x:c r="D38" t="str">
        <x:v>Calendar</x:v>
      </x:c>
      <x:c r="E38" t="str">
        <x:v>Calendar</x:v>
      </x:c>
      <x:c r="F38" t="str">
        <x:v>Binary 0/1</x:v>
      </x:c>
      <x:c r="G38" t="str">
        <x:v>Seasonality</x:v>
      </x:c>
      <x:c r="H38" t="str">
        <x:v>Optional</x:v>
      </x:c>
      <x:c r="I38" t="str">
        <x:v>Support / confidence modifier</x:v>
      </x:c>
    </x:row>
    <x:row r="39">
      <x:c r="A39" t="str">
        <x:v>Calendar</x:v>
      </x:c>
      <x:c r="B39" t="str">
        <x:v>quarter_end</x:v>
      </x:c>
      <x:c r="C39" t="str">
        <x:v>1 in Mar/Jun/Sep/Dec month-end window</x:v>
      </x:c>
      <x:c r="D39" t="str">
        <x:v>Calendar</x:v>
      </x:c>
      <x:c r="E39" t="str">
        <x:v>Calendar</x:v>
      </x:c>
      <x:c r="F39" t="str">
        <x:v>Binary 0/1</x:v>
      </x:c>
      <x:c r="G39" t="str">
        <x:v>Seasonality / Risk</x:v>
      </x:c>
      <x:c r="H39" t="str">
        <x:v>Optional</x:v>
      </x:c>
      <x:c r="I39" t="str">
        <x:v>Flow risk modifier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4" hidden="0" customWidth="1"/>
    <x:col min="4" max="4" width="22" hidden="0" customWidth="1"/>
    <x:col min="5" max="5" width="58" hidden="0" customWidth="1"/>
    <x:col min="6" max="6" width="20" hidden="0" customWidth="1"/>
  </x:cols>
  <x:sheetData>
    <x:row r="1">
      <x:c r="A1" s="67" t="str">
        <x:v>Workbook</x:v>
      </x:c>
      <x:c r="B1" s="67" t="str">
        <x:v>Column</x:v>
      </x:c>
      <x:c r="C1" s="67" t="str">
        <x:v>Type</x:v>
      </x:c>
      <x:c r="D1" s="67" t="str">
        <x:v>Required</x:v>
      </x:c>
      <x:c r="E1" s="67" t="str">
        <x:v>Definition</x:v>
      </x:c>
      <x:c r="F1" s="67" t="str">
        <x:v>Example</x:v>
      </x:c>
    </x:row>
    <x:row r="2">
      <x:c r="A2" t="str">
        <x:v>Market_Data</x:v>
      </x:c>
      <x:c r="B2" t="str">
        <x:v>date</x:v>
      </x:c>
      <x:c r="C2" t="str">
        <x:v>date</x:v>
      </x:c>
      <x:c r="D2" t="str">
        <x:v>Yes</x:v>
      </x:c>
      <x:c r="E2" t="str">
        <x:v>Observation date. One row per asset and date.</x:v>
      </x:c>
      <x:c r="F2" t="str">
        <x:v>YYYY-MM-DD</x:v>
      </x:c>
    </x:row>
    <x:row r="3">
      <x:c r="A3" t="str">
        <x:v>Market_Data</x:v>
      </x:c>
      <x:c r="B3" t="str">
        <x:v>asset_id</x:v>
      </x:c>
      <x:c r="C3" t="str">
        <x:v>text</x:v>
      </x:c>
      <x:c r="D3" t="str">
        <x:v>Yes</x:v>
      </x:c>
      <x:c r="E3" t="str">
        <x:v>Internal ID matching Universe_Master.</x:v>
      </x:c>
      <x:c r="F3" t="str">
        <x:v>SPX</x:v>
      </x:c>
    </x:row>
    <x:row r="4">
      <x:c r="A4" t="str">
        <x:v>Market_Data</x:v>
      </x:c>
      <x:c r="B4" t="str">
        <x:v>px_open</x:v>
      </x:c>
      <x:c r="C4" t="str">
        <x:v>number</x:v>
      </x:c>
      <x:c r="D4" t="str">
        <x:v>Yes for range estimators</x:v>
      </x:c>
      <x:c r="E4" t="str">
        <x:v>Futures open price.</x:v>
      </x:c>
      <x:c r="F4" t="str">
        <x:v>5000.0</x:v>
      </x:c>
    </x:row>
    <x:row r="5">
      <x:c r="A5" t="str">
        <x:v>Market_Data</x:v>
      </x:c>
      <x:c r="B5" t="str">
        <x:v>px_high</x:v>
      </x:c>
      <x:c r="C5" t="str">
        <x:v>number</x:v>
      </x:c>
      <x:c r="D5" t="str">
        <x:v>Yes</x:v>
      </x:c>
      <x:c r="E5" t="str">
        <x:v>Futures high price.</x:v>
      </x:c>
      <x:c r="F5" t="str">
        <x:v>5050.0</x:v>
      </x:c>
    </x:row>
    <x:row r="6">
      <x:c r="A6" t="str">
        <x:v>Market_Data</x:v>
      </x:c>
      <x:c r="B6" t="str">
        <x:v>px_low</x:v>
      </x:c>
      <x:c r="C6" t="str">
        <x:v>number</x:v>
      </x:c>
      <x:c r="D6" t="str">
        <x:v>Yes</x:v>
      </x:c>
      <x:c r="E6" t="str">
        <x:v>Futures low price.</x:v>
      </x:c>
      <x:c r="F6" t="str">
        <x:v>4960.0</x:v>
      </x:c>
    </x:row>
    <x:row r="7">
      <x:c r="A7" t="str">
        <x:v>Market_Data</x:v>
      </x:c>
      <x:c r="B7" t="str">
        <x:v>px_last</x:v>
      </x:c>
      <x:c r="C7" t="str">
        <x:v>number</x:v>
      </x:c>
      <x:c r="D7" t="str">
        <x:v>Yes</x:v>
      </x:c>
      <x:c r="E7" t="str">
        <x:v>Roll-adjusted continuous futures close.</x:v>
      </x:c>
      <x:c r="F7" t="str">
        <x:v>5020.0</x:v>
      </x:c>
    </x:row>
    <x:row r="8">
      <x:c r="A8" t="str">
        <x:v>Market_Data</x:v>
      </x:c>
      <x:c r="B8" t="str">
        <x:v>volume</x:v>
      </x:c>
      <x:c r="C8" t="str">
        <x:v>number</x:v>
      </x:c>
      <x:c r="D8" t="str">
        <x:v>Optional</x:v>
      </x:c>
      <x:c r="E8" t="str">
        <x:v>Contract volume; confidence reduced around rolls.</x:v>
      </x:c>
      <x:c r="F8" t="str">
        <x:v>123456</x:v>
      </x:c>
    </x:row>
    <x:row r="9">
      <x:c r="A9" t="str">
        <x:v>Market_Data</x:v>
      </x:c>
      <x:c r="B9" t="str">
        <x:v>open_interest</x:v>
      </x:c>
      <x:c r="C9" t="str">
        <x:v>number</x:v>
      </x:c>
      <x:c r="D9" t="str">
        <x:v>Optional</x:v>
      </x:c>
      <x:c r="E9" t="str">
        <x:v>Open interest; roll-sensitive.</x:v>
      </x:c>
      <x:c r="F9" t="str">
        <x:v>234567</x:v>
      </x:c>
    </x:row>
    <x:row r="10">
      <x:c r="A10" t="str">
        <x:v>Cross_Asset_Data</x:v>
      </x:c>
      <x:c r="B10" t="str">
        <x:v>date</x:v>
      </x:c>
      <x:c r="C10" t="str">
        <x:v>date</x:v>
      </x:c>
      <x:c r="D10" t="str">
        <x:v>Yes</x:v>
      </x:c>
      <x:c r="E10" t="str">
        <x:v>Observation date; all cross-asset data lagged one business day.</x:v>
      </x:c>
      <x:c r="F10" t="str">
        <x:v>YYYY-MM-DD</x:v>
      </x:c>
    </x:row>
    <x:row r="11">
      <x:c r="A11" t="str">
        <x:v>Cross_Asset_Data</x:v>
      </x:c>
      <x:c r="B11" t="str">
        <x:v>vix</x:v>
      </x:c>
      <x:c r="C11" t="str">
        <x:v>number</x:v>
      </x:c>
      <x:c r="D11" t="str">
        <x:v>Yes</x:v>
      </x:c>
      <x:c r="E11" t="str">
        <x:v>VIX level.</x:v>
      </x:c>
      <x:c r="F11" t="str">
        <x:v>18.5</x:v>
      </x:c>
    </x:row>
    <x:row r="12">
      <x:c r="A12" t="str">
        <x:v>Cross_Asset_Data</x:v>
      </x:c>
      <x:c r="B12" t="str">
        <x:v>move</x:v>
      </x:c>
      <x:c r="C12" t="str">
        <x:v>number</x:v>
      </x:c>
      <x:c r="D12" t="str">
        <x:v>Optional</x:v>
      </x:c>
      <x:c r="E12" t="str">
        <x:v>MOVE index level.</x:v>
      </x:c>
      <x:c r="F12" t="str">
        <x:v>110.0</x:v>
      </x:c>
    </x:row>
    <x:row r="13">
      <x:c r="A13" t="str">
        <x:v>Cross_Asset_Data</x:v>
      </x:c>
      <x:c r="B13" t="str">
        <x:v>hy_spread</x:v>
      </x:c>
      <x:c r="C13" t="str">
        <x:v>number</x:v>
      </x:c>
      <x:c r="D13" t="str">
        <x:v>Optional</x:v>
      </x:c>
      <x:c r="E13" t="str">
        <x:v>Selected HY OAS/spread index.</x:v>
      </x:c>
      <x:c r="F13" t="str">
        <x:v>350</x:v>
      </x:c>
    </x:row>
    <x:row r="14">
      <x:c r="A14" t="str">
        <x:v>Cross_Asset_Data</x:v>
      </x:c>
      <x:c r="B14" t="str">
        <x:v>dxy</x:v>
      </x:c>
      <x:c r="C14" t="str">
        <x:v>number</x:v>
      </x:c>
      <x:c r="D14" t="str">
        <x:v>Yes</x:v>
      </x:c>
      <x:c r="E14" t="str">
        <x:v>US Dollar Index level.</x:v>
      </x:c>
      <x:c r="F14" t="str">
        <x:v>103.2</x:v>
      </x:c>
    </x:row>
    <x:row r="15">
      <x:c r="A15" t="str">
        <x:v>Cross_Asset_Data</x:v>
      </x:c>
      <x:c r="B15" t="str">
        <x:v>us2y</x:v>
      </x:c>
      <x:c r="C15" t="str">
        <x:v>number</x:v>
      </x:c>
      <x:c r="D15" t="str">
        <x:v>Yes</x:v>
      </x:c>
      <x:c r="E15" t="str">
        <x:v>US 2-year government yield in percent.</x:v>
      </x:c>
      <x:c r="F15" t="str">
        <x:v>4.5</x:v>
      </x:c>
    </x:row>
    <x:row r="16">
      <x:c r="A16" t="str">
        <x:v>Cross_Asset_Data</x:v>
      </x:c>
      <x:c r="B16" t="str">
        <x:v>us10y</x:v>
      </x:c>
      <x:c r="C16" t="str">
        <x:v>number</x:v>
      </x:c>
      <x:c r="D16" t="str">
        <x:v>Yes</x:v>
      </x:c>
      <x:c r="E16" t="str">
        <x:v>US 10-year government yield in percent.</x:v>
      </x:c>
      <x:c r="F16" t="str">
        <x:v>4.2</x:v>
      </x:c>
    </x:row>
    <x:row r="17">
      <x:c r="A17" t="str">
        <x:v>Cross_Asset_Data</x:v>
      </x:c>
      <x:c r="B17" t="str">
        <x:v>oil</x:v>
      </x:c>
      <x:c r="C17" t="str">
        <x:v>number</x:v>
      </x:c>
      <x:c r="D17" t="str">
        <x:v>Optional</x:v>
      </x:c>
      <x:c r="E17" t="str">
        <x:v>Continuous crude oil price.</x:v>
      </x:c>
      <x:c r="F17" t="str">
        <x:v>78.0</x:v>
      </x:c>
    </x:row>
    <x:row r="18">
      <x:c r="A18" t="str">
        <x:v>Cross_Asset_Data</x:v>
      </x:c>
      <x:c r="B18" t="str">
        <x:v>copper</x:v>
      </x:c>
      <x:c r="C18" t="str">
        <x:v>number</x:v>
      </x:c>
      <x:c r="D18" t="str">
        <x:v>Optional</x:v>
      </x:c>
      <x:c r="E18" t="str">
        <x:v>Continuous copper price.</x:v>
      </x:c>
      <x:c r="F18" t="str">
        <x:v>4.1</x:v>
      </x:c>
    </x:row>
    <x:row r="19">
      <x:c r="A19" t="str">
        <x:v>Cross_Asset_Data</x:v>
      </x:c>
      <x:c r="B19" t="str">
        <x:v>gold</x:v>
      </x:c>
      <x:c r="C19" t="str">
        <x:v>number</x:v>
      </x:c>
      <x:c r="D19" t="str">
        <x:v>Optional</x:v>
      </x:c>
      <x:c r="E19" t="str">
        <x:v>Continuous gold price.</x:v>
      </x:c>
      <x:c r="F19" t="str">
        <x:v>2350</x:v>
      </x:c>
    </x:row>
    <x:row r="20">
      <x:c r="A20" t="str">
        <x:v>Cross_Asset_Data</x:v>
      </x:c>
      <x:c r="B20" t="str">
        <x:v>usdjpy / eurusd / gbpusd / audusd / usdcnh / usdkrw</x:v>
      </x:c>
      <x:c r="C20" t="str">
        <x:v>number</x:v>
      </x:c>
      <x:c r="D20" t="str">
        <x:v>Market-specific</x:v>
      </x:c>
      <x:c r="E20" t="str">
        <x:v>FX levels used by market-specific direction rules.</x:v>
      </x:c>
      <x:c r="F20" t="str">
        <x:v>various</x:v>
      </x:c>
    </x:row>
    <x:row r="21">
      <x:c r="A21" t="str">
        <x:v>Universe_Master</x:v>
      </x:c>
      <x:c r="B21" t="str">
        <x:v>asset_id</x:v>
      </x:c>
      <x:c r="C21" t="str">
        <x:v>text</x:v>
      </x:c>
      <x:c r="D21" t="str">
        <x:v>Yes</x:v>
      </x:c>
      <x:c r="E21" t="str">
        <x:v>Internal model ID.</x:v>
      </x:c>
      <x:c r="F21" t="str">
        <x:v>NKY</x:v>
      </x:c>
    </x:row>
    <x:row r="22">
      <x:c r="A22" t="str">
        <x:v>Universe_Master</x:v>
      </x:c>
      <x:c r="B22" t="str">
        <x:v>region</x:v>
      </x:c>
      <x:c r="C22" t="str">
        <x:v>text</x:v>
      </x:c>
      <x:c r="D22" t="str">
        <x:v>Yes</x:v>
      </x:c>
      <x:c r="E22" t="str">
        <x:v>Region grouping used for relative strength.</x:v>
      </x:c>
      <x:c r="F22" t="str">
        <x:v>Japan</x:v>
      </x:c>
    </x:row>
    <x:row r="23">
      <x:c r="A23" t="str">
        <x:v>Universe_Master</x:v>
      </x:c>
      <x:c r="B23" t="str">
        <x:v>currency</x:v>
      </x:c>
      <x:c r="C23" t="str">
        <x:v>text</x:v>
      </x:c>
      <x:c r="D23" t="str">
        <x:v>Yes</x:v>
      </x:c>
      <x:c r="E23" t="str">
        <x:v>Contract currency.</x:v>
      </x:c>
      <x:c r="F23" t="str">
        <x:v>JPY</x:v>
      </x:c>
    </x:row>
    <x:row r="24">
      <x:c r="A24" t="str">
        <x:v>Universe_Master</x:v>
      </x:c>
      <x:c r="B24" t="str">
        <x:v>bbg_ticker</x:v>
      </x:c>
      <x:c r="C24" t="str">
        <x:v>text</x:v>
      </x:c>
      <x:c r="D24" t="str">
        <x:v>Required for BBG mode</x:v>
      </x:c>
      <x:c r="E24" t="str">
        <x:v>Generic or explicitly rolled futures ticker.</x:v>
      </x:c>
      <x:c r="F24" t="str">
        <x:v>NK1 Index</x:v>
      </x:c>
    </x:row>
    <x:row r="25">
      <x:c r="A25" t="str">
        <x:v>Universe_Master</x:v>
      </x:c>
      <x:c r="B25" t="str">
        <x:v>active</x:v>
      </x:c>
      <x:c r="C25" t="str">
        <x:v>boolean</x:v>
      </x:c>
      <x:c r="D25" t="str">
        <x:v>Yes</x:v>
      </x:c>
      <x:c r="E25" t="str">
        <x:v>Whether included in run.</x:v>
      </x:c>
      <x:c r="F25" t="str">
        <x:v>TRUE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6" hidden="0" customWidth="1"/>
    <x:col min="4" max="4" width="26" hidden="0" customWidth="1"/>
    <x:col min="5" max="5" width="26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66" t="str">
        <x:v>Time Band</x:v>
      </x:c>
      <x:c r="B1" s="66" t="str">
        <x:v>Temporal Importance</x:v>
      </x:c>
      <x:c r="C1" s="66" t="str">
        <x:v>Momentum Evidence State</x:v>
      </x:c>
      <x:c r="D1" s="66" t="str">
        <x:v>Trend Structure State</x:v>
      </x:c>
      <x:c r="E1" s="66" t="str">
        <x:v>Volatility State</x:v>
      </x:c>
      <x:c r="F1" s="66" t="str">
        <x:v>Momentum Raw Score</x:v>
      </x:c>
      <x:c r="G1" s="66" t="str">
        <x:v>Trend Raw Score</x:v>
      </x:c>
      <x:c r="H1" s="66" t="str">
        <x:v>Volatility Raw Percentile</x:v>
      </x:c>
    </x:row>
    <x:row r="2">
      <x:c r="A2" t="str">
        <x:v>1-5日</x:v>
      </x:c>
      <x:c r="B2" s="68" t="n">
        <x:v>0.0464220084249973</x:v>
      </x:c>
      <x:c r="C2" t="str">
        <x:v>Bullish</x:v>
      </x:c>
      <x:c r="D2" t="str">
        <x:v>Bullish</x:v>
      </x:c>
      <x:c r="E2" t="str">
        <x:v>Neutral</x:v>
      </x:c>
      <x:c r="F2" s="18" t="n">
        <x:v>0.7640211640211639</x:v>
      </x:c>
      <x:c r="G2" s="18" t="n">
        <x:v>0.6824074074074075</x:v>
      </x:c>
      <x:c r="H2" s="18" t="n">
        <x:v>0.31128747795414463</x:v>
      </x:c>
    </x:row>
    <x:row r="3">
      <x:c r="A3" t="str">
        <x:v>6-20日</x:v>
      </x:c>
      <x:c r="B3" s="68" t="n">
        <x:v>0.1231607869267463</x:v>
      </x:c>
      <x:c r="C3" t="str">
        <x:v>Neutral</x:v>
      </x:c>
      <x:c r="D3" t="str">
        <x:v>Neutral</x:v>
      </x:c>
      <x:c r="E3" t="str">
        <x:v>Neutral</x:v>
      </x:c>
      <x:c r="F3" s="18" t="n">
        <x:v>0.49065255731922397</x:v>
      </x:c>
      <x:c r="G3" s="18" t="n">
        <x:v>0.4771604938271605</x:v>
      </x:c>
      <x:c r="H3" s="18" t="n">
        <x:v>0.3754850088183421</x:v>
      </x:c>
    </x:row>
    <x:row r="4">
      <x:c r="A4" t="str">
        <x:v>21-60日</x:v>
      </x:c>
      <x:c r="B4" s="68" t="n">
        <x:v>0.338211502879858</x:v>
      </x:c>
      <x:c r="C4" t="str">
        <x:v>Bullish</x:v>
      </x:c>
      <x:c r="D4" t="str">
        <x:v>Bullish</x:v>
      </x:c>
      <x:c r="E4" t="str">
        <x:v>Neutral</x:v>
      </x:c>
      <x:c r="F4" s="18" t="n">
        <x:v>0.7236552028218695</x:v>
      </x:c>
      <x:c r="G4" s="18" t="n">
        <x:v>0.7749669312169312</x:v>
      </x:c>
      <x:c r="H4" s="18" t="n">
        <x:v>0.3885582010582011</x:v>
      </x:c>
    </x:row>
    <x:row r="5">
      <x:c r="A5" t="str">
        <x:v>61-120日</x:v>
      </x:c>
      <x:c r="B5" s="68" t="n">
        <x:v>0.4922057706862688</x:v>
      </x:c>
      <x:c r="C5" t="str">
        <x:v>Bullish</x:v>
      </x:c>
      <x:c r="D5" t="str">
        <x:v>Bullish</x:v>
      </x:c>
      <x:c r="E5" t="str">
        <x:v>Neutral</x:v>
      </x:c>
      <x:c r="F5" s="18" t="n">
        <x:v>0.7690402704291593</x:v>
      </x:c>
      <x:c r="G5" s="18" t="n">
        <x:v>0.7403439153439152</x:v>
      </x:c>
      <x:c r="H5" s="18" t="n">
        <x:v>0.5691651969429746</x:v>
      </x:c>
    </x:row>
    <x:row r="6">
      <x:c r="A6" t="str">
        <x:v>121-252日</x:v>
      </x:c>
      <x:c r="B6" s="68" t="n">
        <x:v>0</x:v>
      </x:c>
      <x:c r="C6" t="str">
        <x:v>Bullish</x:v>
      </x:c>
      <x:c r="D6" t="str">
        <x:v>Bullish</x:v>
      </x:c>
      <x:c r="E6" t="str">
        <x:v>Neutral</x:v>
      </x:c>
      <x:c r="F6" s="18" t="n">
        <x:v>0.6494675591897815</x:v>
      </x:c>
      <x:c r="G6" s="18" t="n">
        <x:v>0.6933070787237453</x:v>
      </x:c>
      <x:c r="H6" s="18" t="n">
        <x:v>0.4398315162204051</x:v>
      </x:c>
    </x:row>
    <x:row r="9">
      <x:c r="A9" s="66" t="str">
        <x:v>Interpretation</x:v>
      </x:c>
      <x:c r="B9" s="66"/>
      <x:c r="C9" s="66"/>
      <x:c r="D9" s="66"/>
      <x:c r="E9" s="66"/>
      <x:c r="F9" s="66"/>
      <x:c r="G9" s="66"/>
      <x:c r="H9" s="66"/>
    </x:row>
    <x:row r="10">
      <x:c r="A10" s="71" t="str">
        <x:v>Latest example: NKY. The temporal model places the largest attention share on 61-120日. This period is interpreted together with Momentum, Trend Structure and Volatility states. Attention is not treated as a causal explanation; the PDF also shows occlusion impact.</x:v>
      </x:c>
      <x:c r="B10" s="71"/>
      <x:c r="C10" s="71"/>
      <x:c r="D10" s="71"/>
      <x:c r="E10" s="71"/>
      <x:c r="F10" s="71"/>
      <x:c r="G10" s="71"/>
      <x:c r="H10" s="71"/>
    </x:row>
    <x:row r="11">
      <x:c r="A11" s="71"/>
      <x:c r="B11" s="71"/>
      <x:c r="C11" s="71"/>
      <x:c r="D11" s="71"/>
      <x:c r="E11" s="71"/>
      <x:c r="F11" s="71"/>
      <x:c r="G11" s="71"/>
      <x:c r="H11" s="71"/>
    </x:row>
    <x:row r="12">
      <x:c r="A12" s="71"/>
      <x:c r="B12" s="71"/>
      <x:c r="C12" s="71"/>
      <x:c r="D12" s="71"/>
      <x:c r="E12" s="71"/>
      <x:c r="F12" s="71"/>
      <x:c r="G12" s="71"/>
      <x:c r="H12" s="71"/>
    </x:row>
  </x:sheetData>
  <x:mergeCells>
    <x:mergeCell ref="A9:H9"/>
    <x:mergeCell ref="A10:H12"/>
  </x:mergeCells>
  <x:conditionalFormatting sqref="B2:B6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{3201F13C-D87D-93A5-0BF8-28739FE4B939}</x14:id>
        </x:ext>
      </x:extLst>
    </x:cfRule>
  </x:conditionalFormatting>
  <x:conditionalFormatting sqref="F2:H6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201F13C-D87D-93A5-0BF8-28739FE4B939}">
            <x14:dataBar gradient="1">
              <x14:cfvo type="min"/>
              <x14:cfvo type="max"/>
              <x14:fillColor rgb="FF4472C4"/>
            </x14:dataBar>
          </x14:cfRule>
          <xm:sqref>B2:B6</xm:sqref>
        </x14:conditionalFormatting>
      </x14:conditionalFormattings>
    </x:ext>
  </x:extLst>
</x:worksheet>
</file>